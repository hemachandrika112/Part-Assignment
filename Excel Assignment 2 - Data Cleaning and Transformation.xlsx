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06"/>
  <workbookPr/>
  <mc:AlternateContent xmlns:mc="http://schemas.openxmlformats.org/markup-compatibility/2006">
    <mc:Choice Requires="x15">
      <x15ac:absPath xmlns:x15ac="http://schemas.microsoft.com/office/spreadsheetml/2010/11/ac" url="https://d.docs.live.net/cdff5531d2d2b74b/"/>
    </mc:Choice>
  </mc:AlternateContent>
  <xr:revisionPtr revIDLastSave="427" documentId="11_3C784BE47D5BC9D6C729A121CD02E8CB7FE6236B" xr6:coauthVersionLast="47" xr6:coauthVersionMax="47" xr10:uidLastSave="{2C3788AD-558F-45D2-8E9D-A41FF8FDF720}"/>
  <bookViews>
    <workbookView xWindow="-108" yWindow="-108" windowWidth="23256" windowHeight="12456" firstSheet="2" activeTab="3" xr2:uid="{00000000-000D-0000-FFFF-FFFF00000000}"/>
  </bookViews>
  <sheets>
    <sheet name="Instructions" sheetId="1" r:id="rId1"/>
    <sheet name="ORIGINAL_DS" sheetId="2" r:id="rId2"/>
    <sheet name="PROCESSING TO CLEAN DATA" sheetId="3" r:id="rId3"/>
    <sheet name="CLEANED_DATA" sheetId="4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6" roundtripDataChecksum="rIR6213FxEpgZ/k1UDjxyMHI45/G9Bc960XOAAH4UN4="/>
    </ext>
  </extLst>
</workbook>
</file>

<file path=xl/calcChain.xml><?xml version="1.0" encoding="utf-8"?>
<calcChain xmlns="http://schemas.openxmlformats.org/spreadsheetml/2006/main">
  <c r="D2" i="3" l="1"/>
  <c r="D3" i="3"/>
  <c r="D4" i="3"/>
  <c r="D5" i="3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C2" i="3"/>
  <c r="B2" i="3" s="1"/>
  <c r="C3" i="3"/>
  <c r="B3" i="3" s="1"/>
  <c r="C4" i="3"/>
  <c r="B4" i="3" s="1"/>
  <c r="C5" i="3"/>
  <c r="B5" i="3" s="1"/>
  <c r="C6" i="3"/>
  <c r="B6" i="3" s="1"/>
  <c r="C7" i="3"/>
  <c r="B7" i="3" s="1"/>
  <c r="C8" i="3"/>
  <c r="B8" i="3" s="1"/>
  <c r="C9" i="3"/>
  <c r="B9" i="3" s="1"/>
  <c r="C10" i="3"/>
  <c r="B10" i="3" s="1"/>
  <c r="C11" i="3"/>
  <c r="B11" i="3" s="1"/>
  <c r="C12" i="3"/>
  <c r="B12" i="3" s="1"/>
  <c r="C13" i="3"/>
  <c r="B13" i="3" s="1"/>
  <c r="C14" i="3"/>
  <c r="B14" i="3" s="1"/>
  <c r="C15" i="3"/>
  <c r="B15" i="3" s="1"/>
  <c r="C16" i="3"/>
  <c r="B16" i="3" s="1"/>
  <c r="C17" i="3"/>
  <c r="B17" i="3" s="1"/>
  <c r="C18" i="3"/>
  <c r="B18" i="3" s="1"/>
  <c r="C19" i="3"/>
  <c r="B19" i="3" s="1"/>
  <c r="C20" i="3"/>
  <c r="B20" i="3" s="1"/>
  <c r="C21" i="3"/>
  <c r="B21" i="3" s="1"/>
  <c r="C22" i="3"/>
  <c r="B22" i="3" s="1"/>
  <c r="C23" i="3"/>
  <c r="B23" i="3" s="1"/>
  <c r="C24" i="3"/>
  <c r="B24" i="3" s="1"/>
  <c r="C25" i="3"/>
  <c r="B25" i="3" s="1"/>
  <c r="C26" i="3"/>
  <c r="B26" i="3" s="1"/>
  <c r="C27" i="3"/>
  <c r="B27" i="3" s="1"/>
  <c r="C28" i="3"/>
  <c r="B28" i="3" s="1"/>
  <c r="C29" i="3"/>
  <c r="B29" i="3" s="1"/>
  <c r="C30" i="3"/>
  <c r="B30" i="3" s="1"/>
  <c r="C31" i="3"/>
  <c r="B31" i="3" s="1"/>
  <c r="C32" i="3"/>
  <c r="B32" i="3" s="1"/>
  <c r="F2" i="3"/>
  <c r="H2" i="3" s="1"/>
  <c r="F3" i="3"/>
  <c r="H3" i="3" s="1"/>
  <c r="F4" i="3"/>
  <c r="H4" i="3" s="1"/>
  <c r="F5" i="3"/>
  <c r="H5" i="3" s="1"/>
  <c r="F6" i="3"/>
  <c r="H6" i="3" s="1"/>
  <c r="F7" i="3"/>
  <c r="H7" i="3" s="1"/>
  <c r="F8" i="3"/>
  <c r="H8" i="3" s="1"/>
  <c r="F9" i="3"/>
  <c r="H9" i="3" s="1"/>
  <c r="F10" i="3"/>
  <c r="H10" i="3" s="1"/>
  <c r="F11" i="3"/>
  <c r="H11" i="3" s="1"/>
  <c r="F12" i="3"/>
  <c r="H12" i="3" s="1"/>
  <c r="F13" i="3"/>
  <c r="H13" i="3" s="1"/>
  <c r="F14" i="3"/>
  <c r="H14" i="3" s="1"/>
  <c r="F15" i="3"/>
  <c r="H15" i="3" s="1"/>
  <c r="F16" i="3"/>
  <c r="H16" i="3" s="1"/>
  <c r="F17" i="3"/>
  <c r="H17" i="3" s="1"/>
  <c r="F18" i="3"/>
  <c r="H18" i="3" s="1"/>
  <c r="F19" i="3"/>
  <c r="H19" i="3" s="1"/>
  <c r="F20" i="3"/>
  <c r="H20" i="3" s="1"/>
  <c r="F21" i="3"/>
  <c r="H21" i="3" s="1"/>
  <c r="F22" i="3"/>
  <c r="H22" i="3" s="1"/>
  <c r="F23" i="3"/>
  <c r="H23" i="3" s="1"/>
  <c r="F24" i="3"/>
  <c r="H24" i="3" s="1"/>
  <c r="F25" i="3"/>
  <c r="H25" i="3" s="1"/>
  <c r="F26" i="3"/>
  <c r="H26" i="3" s="1"/>
  <c r="F27" i="3"/>
  <c r="H27" i="3" s="1"/>
  <c r="F28" i="3"/>
  <c r="H28" i="3" s="1"/>
  <c r="F29" i="3"/>
  <c r="H29" i="3" s="1"/>
  <c r="F30" i="3"/>
  <c r="H30" i="3" s="1"/>
  <c r="F31" i="3"/>
  <c r="H31" i="3" s="1"/>
  <c r="F32" i="3"/>
  <c r="H32" i="3" s="1"/>
  <c r="J2" i="3"/>
  <c r="J3" i="3"/>
  <c r="J4" i="3"/>
  <c r="J5" i="3"/>
  <c r="J6" i="3"/>
  <c r="J7" i="3"/>
  <c r="J8" i="3"/>
  <c r="J9" i="3"/>
  <c r="J10" i="3"/>
  <c r="J11" i="3"/>
  <c r="J12" i="3"/>
  <c r="J13" i="3"/>
  <c r="J14" i="3"/>
  <c r="J15" i="3"/>
  <c r="J16" i="3"/>
  <c r="J17" i="3"/>
  <c r="J18" i="3"/>
  <c r="J19" i="3"/>
  <c r="J20" i="3"/>
  <c r="J21" i="3"/>
  <c r="J22" i="3"/>
  <c r="J23" i="3"/>
  <c r="J24" i="3"/>
  <c r="J25" i="3"/>
  <c r="J26" i="3"/>
  <c r="J27" i="3"/>
  <c r="J28" i="3"/>
  <c r="J29" i="3"/>
  <c r="J30" i="3"/>
  <c r="J31" i="3"/>
  <c r="J32" i="3"/>
</calcChain>
</file>

<file path=xl/sharedStrings.xml><?xml version="1.0" encoding="utf-8"?>
<sst xmlns="http://schemas.openxmlformats.org/spreadsheetml/2006/main" count="497" uniqueCount="202">
  <si>
    <t>Perform the following in the dataset from the 'Dataset' sheet.</t>
  </si>
  <si>
    <t>1) Handling Missing Values:</t>
  </si>
  <si>
    <t>• Check for missing values in the 'Price' column. How would you handle products with missing price information?</t>
  </si>
  <si>
    <t>• If there are products with missing categories, propose a strategy to impute or deal with these missing values effectively.</t>
  </si>
  <si>
    <t>2) Correcting Inconsistent Data:</t>
  </si>
  <si>
    <t>• Identify any inconsistent text formats present in the "Product Name" column.</t>
  </si>
  <si>
    <t>DONE</t>
  </si>
  <si>
    <t>• Identify any typos present in the "Category" column.</t>
  </si>
  <si>
    <t>• Use the find and replace function to standardize the text formats in the "Product Name" column and fix any typos or misspellings in the "Category" column.</t>
  </si>
  <si>
    <t>3) Removing Duplicates:</t>
  </si>
  <si>
    <t>• Identify any duplicate rows within the dataset based on the entirety of each row, and remove them if any.</t>
  </si>
  <si>
    <t>FOUND 3...AND REMOVED THEM</t>
  </si>
  <si>
    <t>4) Splitting and Merging Data:</t>
  </si>
  <si>
    <t>• Split the "Product ID" column into two separate columns for " Manufacturing Date" and "Country Code". Remove unnecessary characters, if any.</t>
  </si>
  <si>
    <t>• Merge the "Brand Name" and "Product Name" columns into one column named "Product Brand".</t>
  </si>
  <si>
    <t>5) Number Formatting:</t>
  </si>
  <si>
    <t xml:space="preserve">• Format the data type of the "Price" column to currency format. </t>
  </si>
  <si>
    <t xml:space="preserve">• Format the "Manufacturing Date" column to display dates in the "DD-MM-YYYY " format. </t>
  </si>
  <si>
    <t>6) Conditional Formatting:</t>
  </si>
  <si>
    <t>• Apply data bar or color scales conditional formatting in the "Price" column.</t>
  </si>
  <si>
    <t>• Create a custom rule for conditional formatting in the "Category" column to highlight cells where the category is "Electronics."</t>
  </si>
  <si>
    <t>Product ID</t>
  </si>
  <si>
    <t>Product Name</t>
  </si>
  <si>
    <t>Brand Name</t>
  </si>
  <si>
    <t>Price ($)</t>
  </si>
  <si>
    <t>Quantity</t>
  </si>
  <si>
    <t>Category</t>
  </si>
  <si>
    <t>28-JAN-US</t>
  </si>
  <si>
    <t>laptop</t>
  </si>
  <si>
    <t>Dell</t>
  </si>
  <si>
    <t>Electronics</t>
  </si>
  <si>
    <t>15-FEB-US</t>
  </si>
  <si>
    <t>Sneakers</t>
  </si>
  <si>
    <t>Nike</t>
  </si>
  <si>
    <t>Fashion</t>
  </si>
  <si>
    <t>03-MAR-US</t>
  </si>
  <si>
    <t>Coffee Maker</t>
  </si>
  <si>
    <t>Keurig</t>
  </si>
  <si>
    <t>Kitchen</t>
  </si>
  <si>
    <t>11-APR-US</t>
  </si>
  <si>
    <t>smartphone</t>
  </si>
  <si>
    <t>Samsung</t>
  </si>
  <si>
    <t>22-MAY-US</t>
  </si>
  <si>
    <t>Backpack</t>
  </si>
  <si>
    <t>North Face</t>
  </si>
  <si>
    <t>07-JUN-UK</t>
  </si>
  <si>
    <t>Headphones</t>
  </si>
  <si>
    <t>Sony</t>
  </si>
  <si>
    <t>Electroni</t>
  </si>
  <si>
    <t>19-JUL-UK</t>
  </si>
  <si>
    <t>T-shirt</t>
  </si>
  <si>
    <t>Adidas</t>
  </si>
  <si>
    <t>23-AUG-UK</t>
  </si>
  <si>
    <t>Blender</t>
  </si>
  <si>
    <t>Ninja</t>
  </si>
  <si>
    <t>05-SEP-UK</t>
  </si>
  <si>
    <t>Tablet</t>
  </si>
  <si>
    <t>Apple</t>
  </si>
  <si>
    <t>14-OCT-UK</t>
  </si>
  <si>
    <t>Hiking Boots</t>
  </si>
  <si>
    <t>Timberland</t>
  </si>
  <si>
    <t>Outdoor</t>
  </si>
  <si>
    <t>17-JUN-IN</t>
  </si>
  <si>
    <t>Laptop</t>
  </si>
  <si>
    <t>HP</t>
  </si>
  <si>
    <t>25-NOV-AU</t>
  </si>
  <si>
    <t>08-DEC-DE</t>
  </si>
  <si>
    <t>Nespresso</t>
  </si>
  <si>
    <t>18-FEB-CA</t>
  </si>
  <si>
    <t>Smartwatch</t>
  </si>
  <si>
    <t>Fitbit</t>
  </si>
  <si>
    <t>16-APR-ES</t>
  </si>
  <si>
    <t>headphones</t>
  </si>
  <si>
    <t>Bose</t>
  </si>
  <si>
    <t>21-AUG-CA</t>
  </si>
  <si>
    <t>Laptop Bag</t>
  </si>
  <si>
    <t>Samsonite</t>
  </si>
  <si>
    <t>Accessories</t>
  </si>
  <si>
    <t>20-AUG-CN</t>
  </si>
  <si>
    <t>Huawei</t>
  </si>
  <si>
    <t>27-JAN-IT</t>
  </si>
  <si>
    <t>Asus</t>
  </si>
  <si>
    <t>01-MAR-UK</t>
  </si>
  <si>
    <t>Sunglasses</t>
  </si>
  <si>
    <t>Oakley</t>
  </si>
  <si>
    <t>14-AUG-US</t>
  </si>
  <si>
    <t>Camping Tent</t>
  </si>
  <si>
    <t>Coleman</t>
  </si>
  <si>
    <t>14-MAY-RU</t>
  </si>
  <si>
    <t>Camera</t>
  </si>
  <si>
    <t>Nikon</t>
  </si>
  <si>
    <t>09-JAN-CA</t>
  </si>
  <si>
    <t>Microwave</t>
  </si>
  <si>
    <t>Panasonic</t>
  </si>
  <si>
    <t>19-JUL-BR</t>
  </si>
  <si>
    <t>Fitness Tracker</t>
  </si>
  <si>
    <t>Xiaomi</t>
  </si>
  <si>
    <t>29-SEP-CA</t>
  </si>
  <si>
    <t>Smartphone</t>
  </si>
  <si>
    <t>Google</t>
  </si>
  <si>
    <t>03-JUN-CA</t>
  </si>
  <si>
    <t>Ray-Ban</t>
  </si>
  <si>
    <t>11-JUL-CA</t>
  </si>
  <si>
    <t>Vitamix</t>
  </si>
  <si>
    <t>07-MAR-CA</t>
  </si>
  <si>
    <t>Dress</t>
  </si>
  <si>
    <t>Zara</t>
  </si>
  <si>
    <t>13-APR-CA</t>
  </si>
  <si>
    <t>Toaster</t>
  </si>
  <si>
    <t>Hamilton</t>
  </si>
  <si>
    <t>24-MAY-CA</t>
  </si>
  <si>
    <t>Garmin</t>
  </si>
  <si>
    <t>02-DEC-CA</t>
  </si>
  <si>
    <t>Jeans</t>
  </si>
  <si>
    <t>Levi's</t>
  </si>
  <si>
    <t>09-JUL-FR</t>
  </si>
  <si>
    <t>Watch</t>
  </si>
  <si>
    <t>Casio</t>
  </si>
  <si>
    <t>Product_ID</t>
  </si>
  <si>
    <t>Manufacturing date(DD-MM-YYYY)</t>
  </si>
  <si>
    <t>Manufacturing_Date</t>
  </si>
  <si>
    <t>Country_Code</t>
  </si>
  <si>
    <t>OLD_Product Name</t>
  </si>
  <si>
    <t>Product_Name</t>
  </si>
  <si>
    <t>Brand_Name</t>
  </si>
  <si>
    <t>Product_Brand</t>
  </si>
  <si>
    <t>Old_Price column</t>
  </si>
  <si>
    <t>Price</t>
  </si>
  <si>
    <t>28-JAN</t>
  </si>
  <si>
    <t>US</t>
  </si>
  <si>
    <t>Dell Laptop</t>
  </si>
  <si>
    <t>15-FEB</t>
  </si>
  <si>
    <t>Nike Sneakers</t>
  </si>
  <si>
    <t>03-MAR</t>
  </si>
  <si>
    <t>Keurig Coffee Maker</t>
  </si>
  <si>
    <t>11-APR</t>
  </si>
  <si>
    <t>Samsung Smartphone</t>
  </si>
  <si>
    <t>22-MAY</t>
  </si>
  <si>
    <t>North Face Backpack</t>
  </si>
  <si>
    <t>07-JUN</t>
  </si>
  <si>
    <t>UK</t>
  </si>
  <si>
    <t>Sony Headphones</t>
  </si>
  <si>
    <t>19-JUL</t>
  </si>
  <si>
    <t>T-Shirt</t>
  </si>
  <si>
    <t>Adidas T-Shirt</t>
  </si>
  <si>
    <t>23-AUG</t>
  </si>
  <si>
    <t>Ninja Blender</t>
  </si>
  <si>
    <t>05-SEP</t>
  </si>
  <si>
    <t>Apple Tablet</t>
  </si>
  <si>
    <t>14-OCT</t>
  </si>
  <si>
    <t>Timberland Hiking Boots</t>
  </si>
  <si>
    <t>17-JUN</t>
  </si>
  <si>
    <t>IN</t>
  </si>
  <si>
    <t>HP Laptop</t>
  </si>
  <si>
    <t>25-NOV</t>
  </si>
  <si>
    <t>AU</t>
  </si>
  <si>
    <t>Adidas Sneakers</t>
  </si>
  <si>
    <t>08-DEC</t>
  </si>
  <si>
    <t>DE</t>
  </si>
  <si>
    <t>Nespresso Coffee Maker</t>
  </si>
  <si>
    <t>18-FEB</t>
  </si>
  <si>
    <t>CA</t>
  </si>
  <si>
    <t>Fitbit Smartwatch</t>
  </si>
  <si>
    <t>16-APR</t>
  </si>
  <si>
    <t>ES</t>
  </si>
  <si>
    <t>Bose Headphones</t>
  </si>
  <si>
    <t>21-AUG</t>
  </si>
  <si>
    <t>Samsonite Laptop Bag</t>
  </si>
  <si>
    <t>20-AUG</t>
  </si>
  <si>
    <t>CN</t>
  </si>
  <si>
    <t>Huawei Smartwatch</t>
  </si>
  <si>
    <t>27-JAN</t>
  </si>
  <si>
    <t>IT</t>
  </si>
  <si>
    <t>Asus Laptop</t>
  </si>
  <si>
    <t>01-MAR</t>
  </si>
  <si>
    <t>Oakley Sunglasses</t>
  </si>
  <si>
    <t>14-AUG</t>
  </si>
  <si>
    <t>Coleman Camping Tent</t>
  </si>
  <si>
    <t>14-MAY</t>
  </si>
  <si>
    <t>RU</t>
  </si>
  <si>
    <t>Nikon Camera</t>
  </si>
  <si>
    <t>09-JAN</t>
  </si>
  <si>
    <t>Panasonic Microwave</t>
  </si>
  <si>
    <t>BR</t>
  </si>
  <si>
    <t>Xiaomi Fitness Tracker</t>
  </si>
  <si>
    <t>29-SEP</t>
  </si>
  <si>
    <t>Google Smartphone</t>
  </si>
  <si>
    <t>03-JUN</t>
  </si>
  <si>
    <t>Ray-Ban Sunglasses</t>
  </si>
  <si>
    <t>11-JUL</t>
  </si>
  <si>
    <t>Vitamix Blender</t>
  </si>
  <si>
    <t>07-MAR</t>
  </si>
  <si>
    <t>Zara Dress</t>
  </si>
  <si>
    <t>13-APR</t>
  </si>
  <si>
    <t>Hamilton Toaster</t>
  </si>
  <si>
    <t>24-MAY</t>
  </si>
  <si>
    <t>Garmin Fitness Tracker</t>
  </si>
  <si>
    <t>02-DEC</t>
  </si>
  <si>
    <t>Levi's Jeans</t>
  </si>
  <si>
    <t>09-JUL</t>
  </si>
  <si>
    <t>FR</t>
  </si>
  <si>
    <t>Casio Watch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</si>
</sst>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5" formatCode="dd\-mm\-yyyy"/>
    <numFmt numFmtId="168" formatCode="&quot;$&quot;#,##0"/>
  </numFmts>
  <fonts count="16">
    <font>
      <sz val="10"/>
      <color rgb="FF000000"/>
      <name val="Arial"/>
      <scheme val="minor"/>
    </font>
    <font>
      <b/>
      <sz val="11"/>
      <color theme="1"/>
      <name val="Arial"/>
    </font>
    <font>
      <b/>
      <sz val="12"/>
      <color theme="1"/>
      <name val="Times New Roman"/>
    </font>
    <font>
      <sz val="12"/>
      <color theme="1"/>
      <name val="Times New Roman"/>
    </font>
    <font>
      <b/>
      <sz val="11"/>
      <color theme="1"/>
      <name val="Calibri"/>
    </font>
    <font>
      <sz val="10"/>
      <color theme="1"/>
      <name val="Arial"/>
    </font>
    <font>
      <sz val="11"/>
      <color theme="1"/>
      <name val="Times New Roman"/>
    </font>
    <font>
      <b/>
      <sz val="10"/>
      <color theme="1"/>
      <name val="Arial"/>
    </font>
    <font>
      <sz val="8"/>
      <name val="Arial"/>
      <family val="2"/>
      <scheme val="minor"/>
    </font>
    <font>
      <sz val="12"/>
      <color theme="1"/>
      <name val="Times New Roman"/>
      <family val="1"/>
    </font>
    <font>
      <b/>
      <sz val="11"/>
      <color rgb="FFFFFF00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</font>
    <font>
      <sz val="11"/>
      <color theme="1"/>
      <name val="Arial"/>
      <family val="2"/>
    </font>
    <font>
      <b/>
      <sz val="10"/>
      <color theme="1"/>
      <name val="Arial"/>
      <scheme val="minor"/>
    </font>
    <font>
      <b/>
      <sz val="10"/>
      <color rgb="FF000000"/>
      <name val="Arial"/>
      <scheme val="minor"/>
    </font>
  </fonts>
  <fills count="7">
    <fill>
      <patternFill patternType="none"/>
    </fill>
    <fill>
      <patternFill patternType="gray125"/>
    </fill>
    <fill>
      <patternFill patternType="solid">
        <fgColor rgb="FF4DD0E1"/>
        <bgColor rgb="FF4DD0E1"/>
      </patternFill>
    </fill>
    <fill>
      <patternFill patternType="solid">
        <fgColor rgb="FFE0F7FA"/>
        <bgColor rgb="FFE0F7FA"/>
      </patternFill>
    </fill>
    <fill>
      <patternFill patternType="solid">
        <fgColor theme="5"/>
        <bgColor rgb="FF4DD0E1"/>
      </patternFill>
    </fill>
    <fill>
      <patternFill patternType="solid">
        <fgColor theme="9"/>
        <bgColor indexed="64"/>
      </patternFill>
    </fill>
    <fill>
      <patternFill patternType="solid">
        <fgColor theme="6" tint="0.39997558519241921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6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2" borderId="0" xfId="0" applyFont="1" applyFill="1" applyAlignment="1">
      <alignment horizontal="center"/>
    </xf>
    <xf numFmtId="0" fontId="5" fillId="3" borderId="0" xfId="0" applyFont="1" applyFill="1"/>
    <xf numFmtId="0" fontId="0" fillId="0" borderId="1" xfId="0" applyBorder="1"/>
    <xf numFmtId="49" fontId="0" fillId="0" borderId="1" xfId="0" applyNumberFormat="1" applyBorder="1"/>
    <xf numFmtId="1" fontId="0" fillId="0" borderId="1" xfId="0" applyNumberFormat="1" applyBorder="1"/>
    <xf numFmtId="0" fontId="0" fillId="0" borderId="0" xfId="0" applyNumberFormat="1"/>
    <xf numFmtId="0" fontId="0" fillId="0" borderId="1" xfId="0" applyNumberFormat="1" applyBorder="1"/>
    <xf numFmtId="0" fontId="9" fillId="0" borderId="0" xfId="0" applyFont="1"/>
    <xf numFmtId="165" fontId="0" fillId="0" borderId="1" xfId="0" applyNumberFormat="1" applyBorder="1" applyAlignment="1">
      <alignment horizontal="left"/>
    </xf>
    <xf numFmtId="168" fontId="0" fillId="0" borderId="0" xfId="0" applyNumberFormat="1"/>
    <xf numFmtId="0" fontId="10" fillId="4" borderId="1" xfId="0" applyFont="1" applyFill="1" applyBorder="1" applyAlignment="1"/>
    <xf numFmtId="165" fontId="11" fillId="5" borderId="1" xfId="0" applyNumberFormat="1" applyFont="1" applyFill="1" applyBorder="1" applyAlignment="1">
      <alignment wrapText="1"/>
    </xf>
    <xf numFmtId="14" fontId="11" fillId="2" borderId="1" xfId="0" applyNumberFormat="1" applyFont="1" applyFill="1" applyBorder="1" applyAlignment="1"/>
    <xf numFmtId="0" fontId="11" fillId="2" borderId="1" xfId="0" applyFont="1" applyFill="1" applyBorder="1" applyAlignment="1"/>
    <xf numFmtId="0" fontId="10" fillId="4" borderId="1" xfId="0" applyNumberFormat="1" applyFont="1" applyFill="1" applyBorder="1" applyAlignment="1">
      <alignment wrapText="1"/>
    </xf>
    <xf numFmtId="0" fontId="1" fillId="2" borderId="1" xfId="0" applyNumberFormat="1" applyFont="1" applyFill="1" applyBorder="1" applyAlignment="1"/>
    <xf numFmtId="0" fontId="11" fillId="2" borderId="1" xfId="0" applyNumberFormat="1" applyFont="1" applyFill="1" applyBorder="1"/>
    <xf numFmtId="1" fontId="10" fillId="4" borderId="1" xfId="0" applyNumberFormat="1" applyFont="1" applyFill="1" applyBorder="1" applyAlignment="1">
      <alignment wrapText="1"/>
    </xf>
    <xf numFmtId="168" fontId="1" fillId="2" borderId="1" xfId="0" applyNumberFormat="1" applyFont="1" applyFill="1" applyBorder="1" applyAlignment="1"/>
    <xf numFmtId="1" fontId="1" fillId="2" borderId="1" xfId="0" applyNumberFormat="1" applyFont="1" applyFill="1" applyBorder="1" applyAlignment="1"/>
    <xf numFmtId="0" fontId="12" fillId="0" borderId="1" xfId="0" applyFont="1" applyBorder="1"/>
    <xf numFmtId="165" fontId="12" fillId="0" borderId="1" xfId="0" applyNumberFormat="1" applyFont="1" applyBorder="1"/>
    <xf numFmtId="14" fontId="12" fillId="0" borderId="1" xfId="0" applyNumberFormat="1" applyFont="1" applyBorder="1" applyAlignment="1">
      <alignment horizontal="left"/>
    </xf>
    <xf numFmtId="0" fontId="12" fillId="0" borderId="1" xfId="0" applyNumberFormat="1" applyFont="1" applyBorder="1"/>
    <xf numFmtId="0" fontId="13" fillId="0" borderId="1" xfId="0" applyNumberFormat="1" applyFont="1" applyBorder="1" applyAlignment="1">
      <alignment wrapText="1"/>
    </xf>
    <xf numFmtId="1" fontId="12" fillId="0" borderId="1" xfId="0" applyNumberFormat="1" applyFont="1" applyBorder="1"/>
    <xf numFmtId="168" fontId="12" fillId="0" borderId="1" xfId="0" applyNumberFormat="1" applyFont="1" applyBorder="1"/>
    <xf numFmtId="0" fontId="12" fillId="3" borderId="1" xfId="0" applyFont="1" applyFill="1" applyBorder="1"/>
    <xf numFmtId="165" fontId="12" fillId="3" borderId="1" xfId="0" applyNumberFormat="1" applyFont="1" applyFill="1" applyBorder="1"/>
    <xf numFmtId="14" fontId="12" fillId="3" borderId="1" xfId="0" applyNumberFormat="1" applyFont="1" applyFill="1" applyBorder="1" applyAlignment="1">
      <alignment horizontal="left"/>
    </xf>
    <xf numFmtId="0" fontId="12" fillId="3" borderId="1" xfId="0" applyNumberFormat="1" applyFont="1" applyFill="1" applyBorder="1"/>
    <xf numFmtId="0" fontId="13" fillId="3" borderId="1" xfId="0" applyNumberFormat="1" applyFont="1" applyFill="1" applyBorder="1"/>
    <xf numFmtId="1" fontId="12" fillId="3" borderId="1" xfId="0" applyNumberFormat="1" applyFont="1" applyFill="1" applyBorder="1"/>
    <xf numFmtId="168" fontId="12" fillId="3" borderId="1" xfId="0" applyNumberFormat="1" applyFont="1" applyFill="1" applyBorder="1"/>
    <xf numFmtId="0" fontId="13" fillId="0" borderId="1" xfId="0" applyNumberFormat="1" applyFont="1" applyBorder="1"/>
    <xf numFmtId="14" fontId="12" fillId="0" borderId="5" xfId="0" applyNumberFormat="1" applyFont="1" applyBorder="1" applyAlignment="1">
      <alignment horizontal="left"/>
    </xf>
    <xf numFmtId="14" fontId="12" fillId="3" borderId="5" xfId="0" applyNumberFormat="1" applyFont="1" applyFill="1" applyBorder="1" applyAlignment="1">
      <alignment horizontal="left"/>
    </xf>
    <xf numFmtId="0" fontId="12" fillId="0" borderId="2" xfId="0" applyNumberFormat="1" applyFont="1" applyBorder="1"/>
    <xf numFmtId="0" fontId="12" fillId="3" borderId="2" xfId="0" applyNumberFormat="1" applyFont="1" applyFill="1" applyBorder="1"/>
    <xf numFmtId="14" fontId="11" fillId="2" borderId="6" xfId="0" applyNumberFormat="1" applyFont="1" applyFill="1" applyBorder="1" applyAlignment="1"/>
    <xf numFmtId="14" fontId="11" fillId="2" borderId="7" xfId="0" applyNumberFormat="1" applyFont="1" applyFill="1" applyBorder="1" applyAlignment="1"/>
    <xf numFmtId="165" fontId="11" fillId="5" borderId="7" xfId="0" applyNumberFormat="1" applyFont="1" applyFill="1" applyBorder="1" applyAlignment="1">
      <alignment wrapText="1"/>
    </xf>
    <xf numFmtId="0" fontId="1" fillId="2" borderId="7" xfId="0" applyNumberFormat="1" applyFont="1" applyFill="1" applyBorder="1" applyAlignment="1"/>
    <xf numFmtId="0" fontId="11" fillId="2" borderId="7" xfId="0" applyNumberFormat="1" applyFont="1" applyFill="1" applyBorder="1"/>
    <xf numFmtId="168" fontId="1" fillId="2" borderId="7" xfId="0" applyNumberFormat="1" applyFont="1" applyFill="1" applyBorder="1" applyAlignment="1"/>
    <xf numFmtId="1" fontId="1" fillId="2" borderId="7" xfId="0" applyNumberFormat="1" applyFont="1" applyFill="1" applyBorder="1" applyAlignment="1"/>
    <xf numFmtId="0" fontId="1" fillId="2" borderId="3" xfId="0" applyNumberFormat="1" applyFont="1" applyFill="1" applyBorder="1" applyAlignment="1"/>
    <xf numFmtId="14" fontId="12" fillId="3" borderId="8" xfId="0" applyNumberFormat="1" applyFont="1" applyFill="1" applyBorder="1" applyAlignment="1">
      <alignment horizontal="left"/>
    </xf>
    <xf numFmtId="14" fontId="12" fillId="3" borderId="9" xfId="0" applyNumberFormat="1" applyFont="1" applyFill="1" applyBorder="1" applyAlignment="1">
      <alignment horizontal="left"/>
    </xf>
    <xf numFmtId="165" fontId="12" fillId="3" borderId="9" xfId="0" applyNumberFormat="1" applyFont="1" applyFill="1" applyBorder="1"/>
    <xf numFmtId="0" fontId="12" fillId="3" borderId="9" xfId="0" applyNumberFormat="1" applyFont="1" applyFill="1" applyBorder="1"/>
    <xf numFmtId="0" fontId="13" fillId="3" borderId="9" xfId="0" applyNumberFormat="1" applyFont="1" applyFill="1" applyBorder="1"/>
    <xf numFmtId="168" fontId="12" fillId="3" borderId="9" xfId="0" applyNumberFormat="1" applyFont="1" applyFill="1" applyBorder="1"/>
    <xf numFmtId="1" fontId="12" fillId="3" borderId="9" xfId="0" applyNumberFormat="1" applyFont="1" applyFill="1" applyBorder="1"/>
    <xf numFmtId="0" fontId="12" fillId="3" borderId="4" xfId="0" applyNumberFormat="1" applyFont="1" applyFill="1" applyBorder="1"/>
    <xf numFmtId="0" fontId="14" fillId="6" borderId="0" xfId="0" applyFont="1" applyFill="1"/>
    <xf numFmtId="0" fontId="15" fillId="6" borderId="0" xfId="0" applyFont="1" applyFill="1"/>
  </cellXfs>
  <cellStyles count="1">
    <cellStyle name="Normal" xfId="0" builtinId="0"/>
  </cellStyles>
  <dxfs count="2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numFmt numFmtId="0" formatCode="General"/>
      <fill>
        <patternFill patternType="solid">
          <fgColor rgb="FFE0F7FA"/>
          <bgColor rgb="FFE0F7FA"/>
        </patternFill>
      </fill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numFmt numFmtId="1" formatCode="0"/>
      <fill>
        <patternFill patternType="solid">
          <fgColor rgb="FFE0F7FA"/>
          <bgColor rgb="FFE0F7FA"/>
        </patternFill>
      </fill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numFmt numFmtId="168" formatCode="&quot;$&quot;#,##0"/>
      <fill>
        <patternFill patternType="solid">
          <fgColor rgb="FFE0F7FA"/>
          <bgColor rgb="FFE0F7FA"/>
        </patternFill>
      </fill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0" formatCode="General"/>
      <fill>
        <patternFill patternType="solid">
          <fgColor rgb="FFE0F7FA"/>
          <bgColor rgb="FFE0F7FA"/>
        </patternFill>
      </fill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numFmt numFmtId="0" formatCode="General"/>
      <fill>
        <patternFill patternType="solid">
          <fgColor rgb="FFE0F7FA"/>
          <bgColor rgb="FFE0F7FA"/>
        </patternFill>
      </fill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numFmt numFmtId="0" formatCode="General"/>
      <fill>
        <patternFill patternType="solid">
          <fgColor rgb="FFE0F7FA"/>
          <bgColor rgb="FFE0F7FA"/>
        </patternFill>
      </fill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numFmt numFmtId="165" formatCode="dd\-mm\-yyyy"/>
      <fill>
        <patternFill patternType="solid">
          <fgColor rgb="FFE0F7FA"/>
          <bgColor rgb="FFE0F7FA"/>
        </patternFill>
      </fill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numFmt numFmtId="19" formatCode="m/d/yyyy"/>
      <fill>
        <patternFill patternType="solid">
          <fgColor rgb="FFE0F7FA"/>
          <bgColor rgb="FFE0F7FA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numFmt numFmtId="19" formatCode="m/d/yyyy"/>
      <fill>
        <patternFill patternType="solid">
          <fgColor rgb="FFE0F7FA"/>
          <bgColor rgb="FFE0F7FA"/>
        </patternFill>
      </fill>
      <alignment horizontal="left" vertical="bottom" textRotation="0" wrapText="0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fill>
        <patternFill patternType="solid">
          <fgColor rgb="FFE0F7FA"/>
          <bgColor rgb="FFE0F7FA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numFmt numFmtId="0" formatCode="General"/>
      <fill>
        <patternFill patternType="solid">
          <fgColor rgb="FFE0F7FA"/>
          <bgColor rgb="FFE0F7FA"/>
        </patternFill>
      </fill>
      <border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numFmt numFmtId="1" formatCode="0"/>
      <fill>
        <patternFill patternType="solid">
          <fgColor rgb="FFE0F7FA"/>
          <bgColor rgb="FFE0F7FA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numFmt numFmtId="168" formatCode="&quot;$&quot;#,##0"/>
      <fill>
        <patternFill patternType="solid">
          <fgColor rgb="FFE0F7FA"/>
          <bgColor rgb="FFE0F7FA"/>
        </patternFill>
      </fill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numFmt numFmtId="1" formatCode="0"/>
      <fill>
        <patternFill patternType="solid">
          <fgColor rgb="FFE0F7FA"/>
          <bgColor rgb="FFE0F7FA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numFmt numFmtId="0" formatCode="General"/>
      <fill>
        <patternFill patternType="solid">
          <fgColor rgb="FFE0F7FA"/>
          <bgColor rgb="FFE0F7FA"/>
        </patternFill>
      </fill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numFmt numFmtId="0" formatCode="General"/>
      <fill>
        <patternFill patternType="solid">
          <fgColor rgb="FFE0F7FA"/>
          <bgColor rgb="FFE0F7FA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numFmt numFmtId="0" formatCode="General"/>
      <fill>
        <patternFill patternType="solid">
          <fgColor rgb="FFE0F7FA"/>
          <bgColor rgb="FFE0F7FA"/>
        </patternFill>
      </fill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numFmt numFmtId="0" formatCode="General"/>
      <fill>
        <patternFill patternType="solid">
          <fgColor rgb="FFE0F7FA"/>
          <bgColor rgb="FFE0F7FA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numFmt numFmtId="0" formatCode="General"/>
      <fill>
        <patternFill patternType="solid">
          <fgColor rgb="FFE0F7FA"/>
          <bgColor rgb="FFE0F7FA"/>
        </patternFill>
      </fill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numFmt numFmtId="19" formatCode="m/d/yyyy"/>
      <fill>
        <patternFill patternType="solid">
          <fgColor rgb="FFE0F7FA"/>
          <bgColor rgb="FFE0F7FA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numFmt numFmtId="165" formatCode="dd\-mm\-yyyy"/>
      <fill>
        <patternFill patternType="solid">
          <fgColor rgb="FFE0F7FA"/>
          <bgColor rgb="FFE0F7FA"/>
        </patternFill>
      </fill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fill>
        <patternFill patternType="solid">
          <fgColor rgb="FFE0F7FA"/>
          <bgColor rgb="FFE0F7FA"/>
        </patternFill>
      </fill>
      <border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fill>
        <patternFill patternType="solid">
          <fgColor rgb="FFE0F7FA"/>
          <bgColor rgb="FFE0F7FA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fill>
        <patternFill patternType="solid">
          <fgColor rgb="FF4DD0E1"/>
          <bgColor rgb="FF4DD0E1"/>
        </patternFill>
      </fill>
      <alignment horizontal="center" vertical="bottom" textRotation="0" wrapText="0" indent="0" justifyLastLine="0" shrinkToFit="0" readingOrder="0"/>
      <border>
        <left style="thin">
          <color rgb="FF000000"/>
        </left>
        <right style="thin">
          <color rgb="FF000000"/>
        </right>
        <top/>
        <bottom/>
        <vertical style="thin">
          <color rgb="FF000000"/>
        </vertical>
        <horizontal style="thin">
          <color rgb="FF000000"/>
        </horizontal>
      </border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440CB1F-D057-40A0-85EE-1D813AAEE872}" name="Table1" displayName="Table1" ref="A1:L32" totalsRowShown="0" headerRowDxfId="27" dataDxfId="26">
  <autoFilter ref="A1:L32" xr:uid="{8440CB1F-D057-40A0-85EE-1D813AAEE872}"/>
  <tableColumns count="12">
    <tableColumn id="1" xr3:uid="{E4D75B5E-BFA7-42D3-804C-ABA1453901DC}" name="Product_ID" dataDxfId="25"/>
    <tableColumn id="7" xr3:uid="{E6E5C040-3894-425C-A159-2CB212F588DD}" name="Manufacturing date(DD-MM-YYYY)" dataDxfId="24">
      <calculatedColumnFormula>DATEVALUE(C2)</calculatedColumnFormula>
    </tableColumn>
    <tableColumn id="13" xr3:uid="{B0EAC241-1DC6-48A2-9338-890136E7DE9F}" name="Manufacturing_Date" dataDxfId="23">
      <calculatedColumnFormula>LEFT(Table1[[#This Row],[Product_ID]],6)</calculatedColumnFormula>
    </tableColumn>
    <tableColumn id="14" xr3:uid="{D7B7A3A6-9F1C-4523-A225-82CAB16722B5}" name="Country_Code" dataDxfId="22">
      <calculatedColumnFormula>RIGHT(Table1[[#This Row],[Product_ID]],2)</calculatedColumnFormula>
    </tableColumn>
    <tableColumn id="2" xr3:uid="{C7976CC9-7686-4424-8593-5F014DF2ECCE}" name="OLD_Product Name" dataDxfId="21"/>
    <tableColumn id="10" xr3:uid="{AE644244-2757-4405-979D-AEB3E3057A1D}" name="Product_Name" dataDxfId="20">
      <calculatedColumnFormula>PROPER(Table1[[#This Row],[OLD_Product Name]])</calculatedColumnFormula>
    </tableColumn>
    <tableColumn id="3" xr3:uid="{3DEEAC98-7A38-49D2-94CF-E56EF73834C8}" name="Brand_Name" dataDxfId="19"/>
    <tableColumn id="11" xr3:uid="{0582BD4A-D492-4546-BD8F-882797427546}" name="Product_Brand" dataDxfId="18">
      <calculatedColumnFormula>CONCATENATE(Table1[[#This Row],[Brand_Name]]," ",Table1[[#This Row],[Product_Name]])</calculatedColumnFormula>
    </tableColumn>
    <tableColumn id="4" xr3:uid="{722FBB03-2C01-4D5B-BB05-E4CDBAF8F661}" name="Old_Price column" dataDxfId="17"/>
    <tableColumn id="8" xr3:uid="{49F5AF09-A232-445A-8CC8-59711E561F50}" name="Price" dataDxfId="16">
      <calculatedColumnFormula>IF(I2="",AVERAGEIF(Table1[Category],Table1[[#This Row],[Category]],Table1[Old_Price column]),I2)</calculatedColumnFormula>
    </tableColumn>
    <tableColumn id="5" xr3:uid="{42297148-702A-4EBB-B643-EB38CB478D98}" name="Quantity" dataDxfId="15"/>
    <tableColumn id="6" xr3:uid="{74122E67-C8CD-45F6-8103-E5EF56EDF609}" name="Category" dataDxfId="14"/>
  </tableColumns>
  <tableStyleInfo name="TableStyleLight14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214BDB1-E2E9-44D9-B01A-5D6A5DE7F145}" name="Table2" displayName="Table2" ref="A1:I32" totalsRowShown="0" dataDxfId="12" headerRowBorderDxfId="10" tableBorderDxfId="11" totalsRowBorderDxfId="9">
  <autoFilter ref="A1:I32" xr:uid="{6214BDB1-E2E9-44D9-B01A-5D6A5DE7F145}"/>
  <tableColumns count="9">
    <tableColumn id="1" xr3:uid="{11928324-A201-49E6-A575-35AC2376B9E2}" name="Manufacturing_Date" dataDxfId="8"/>
    <tableColumn id="2" xr3:uid="{12050340-FD03-42CB-83D8-247CED0EA401}" name="Country_Code" dataDxfId="7"/>
    <tableColumn id="3" xr3:uid="{C0EB10FF-E3CD-4B86-BF5D-69310579184C}" name="Manufacturing date(DD-MM-YYYY)" dataDxfId="6"/>
    <tableColumn id="4" xr3:uid="{6706C406-3E03-4B9A-A21A-13EE85722612}" name="Product_Name" dataDxfId="5"/>
    <tableColumn id="5" xr3:uid="{C6AB1915-2565-43FB-B077-809713AAD4C2}" name="Brand_Name" dataDxfId="4"/>
    <tableColumn id="6" xr3:uid="{73C48899-2C68-43EB-B738-9AB284D39972}" name="Product_Brand" dataDxfId="3"/>
    <tableColumn id="7" xr3:uid="{18421FF0-88E7-403A-A0CF-D80639F9B64C}" name="Price" dataDxfId="2"/>
    <tableColumn id="8" xr3:uid="{DB95BACF-72D2-45F4-BEF8-31DF6822E627}" name="Quantity" dataDxfId="1"/>
    <tableColumn id="9" xr3:uid="{C54BC731-2086-44E6-B284-B4FB7234CE13}" name="Category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O1000"/>
  <sheetViews>
    <sheetView showGridLines="0" topLeftCell="C7" workbookViewId="0">
      <selection activeCell="K22" sqref="K22"/>
    </sheetView>
  </sheetViews>
  <sheetFormatPr defaultColWidth="12.7109375" defaultRowHeight="15" customHeight="1"/>
  <cols>
    <col min="1" max="1" width="12.7109375" customWidth="1"/>
    <col min="2" max="2" width="7.42578125" customWidth="1"/>
    <col min="3" max="6" width="12.7109375" customWidth="1"/>
    <col min="11" max="11" width="30.28515625" bestFit="1" customWidth="1"/>
  </cols>
  <sheetData>
    <row r="1" spans="1:15" ht="15.75" customHeight="1">
      <c r="A1" s="1" t="s">
        <v>0</v>
      </c>
    </row>
    <row r="2" spans="1:15" ht="15.75" customHeight="1"/>
    <row r="3" spans="1:15" ht="15.75" customHeight="1">
      <c r="B3" s="2" t="s">
        <v>1</v>
      </c>
    </row>
    <row r="4" spans="1:15" ht="15.75" customHeight="1">
      <c r="C4" s="3" t="s">
        <v>2</v>
      </c>
    </row>
    <row r="5" spans="1:15" ht="15.75" customHeight="1">
      <c r="B5" s="4"/>
      <c r="C5" s="3" t="s">
        <v>3</v>
      </c>
    </row>
    <row r="6" spans="1:15" ht="15.75" customHeight="1">
      <c r="B6" s="4"/>
    </row>
    <row r="7" spans="1:15" ht="15.75" customHeight="1">
      <c r="B7" s="2" t="s">
        <v>4</v>
      </c>
    </row>
    <row r="8" spans="1:15" ht="15.75" customHeight="1">
      <c r="C8" s="3" t="s">
        <v>5</v>
      </c>
      <c r="I8" s="62" t="s">
        <v>6</v>
      </c>
    </row>
    <row r="9" spans="1:15" ht="15.75" customHeight="1">
      <c r="C9" s="3" t="s">
        <v>7</v>
      </c>
      <c r="I9" s="62" t="s">
        <v>6</v>
      </c>
    </row>
    <row r="10" spans="1:15" ht="15.75" customHeight="1">
      <c r="C10" s="3" t="s">
        <v>8</v>
      </c>
      <c r="O10" s="63" t="s">
        <v>6</v>
      </c>
    </row>
    <row r="11" spans="1:15" ht="15.75" customHeight="1">
      <c r="B11" s="4"/>
    </row>
    <row r="12" spans="1:15" ht="15.75" customHeight="1">
      <c r="B12" s="2" t="s">
        <v>9</v>
      </c>
    </row>
    <row r="13" spans="1:15" ht="15.75" customHeight="1">
      <c r="B13" s="2"/>
      <c r="C13" s="3" t="s">
        <v>10</v>
      </c>
      <c r="K13" s="63" t="s">
        <v>11</v>
      </c>
    </row>
    <row r="14" spans="1:15" ht="15.75" customHeight="1"/>
    <row r="15" spans="1:15" ht="15.75" customHeight="1">
      <c r="B15" s="2" t="s">
        <v>12</v>
      </c>
      <c r="C15" s="5"/>
      <c r="D15" s="5"/>
      <c r="E15" s="5"/>
      <c r="F15" s="5"/>
      <c r="G15" s="5"/>
      <c r="H15" s="5"/>
      <c r="I15" s="5"/>
      <c r="J15" s="5"/>
      <c r="K15" s="5"/>
    </row>
    <row r="16" spans="1:15" ht="15.75" customHeight="1">
      <c r="B16" s="5"/>
      <c r="C16" s="14" t="s">
        <v>13</v>
      </c>
      <c r="D16" s="5"/>
      <c r="E16" s="5"/>
      <c r="F16" s="5"/>
      <c r="G16" s="5"/>
      <c r="H16" s="5"/>
      <c r="I16" s="5"/>
      <c r="J16" s="5"/>
      <c r="K16" s="5"/>
      <c r="M16" s="63" t="s">
        <v>6</v>
      </c>
    </row>
    <row r="17" spans="2:11" ht="15.75" customHeight="1">
      <c r="B17" s="5"/>
      <c r="C17" s="3" t="s">
        <v>14</v>
      </c>
      <c r="D17" s="5"/>
      <c r="E17" s="5"/>
      <c r="F17" s="5"/>
      <c r="G17" s="5"/>
      <c r="H17" s="5"/>
      <c r="I17" s="5"/>
      <c r="J17" s="5"/>
      <c r="K17" s="5"/>
    </row>
    <row r="18" spans="2:11" ht="15.75" customHeight="1">
      <c r="B18" s="5"/>
      <c r="C18" s="5"/>
      <c r="D18" s="5"/>
      <c r="E18" s="5"/>
      <c r="F18" s="5"/>
      <c r="G18" s="5"/>
      <c r="H18" s="5"/>
      <c r="I18" s="5"/>
      <c r="J18" s="5"/>
      <c r="K18" s="5"/>
    </row>
    <row r="19" spans="2:11" ht="15.75" customHeight="1">
      <c r="B19" s="2" t="s">
        <v>15</v>
      </c>
      <c r="C19" s="5"/>
      <c r="D19" s="5"/>
      <c r="E19" s="5"/>
      <c r="F19" s="5"/>
      <c r="G19" s="5"/>
      <c r="H19" s="5"/>
      <c r="I19" s="5"/>
      <c r="J19" s="5"/>
      <c r="K19" s="5"/>
    </row>
    <row r="20" spans="2:11" ht="15.75" customHeight="1">
      <c r="B20" s="5"/>
      <c r="C20" s="3" t="s">
        <v>16</v>
      </c>
      <c r="D20" s="5"/>
      <c r="E20" s="5"/>
      <c r="F20" s="5"/>
      <c r="G20" s="5"/>
      <c r="H20" s="5"/>
      <c r="I20" s="5"/>
      <c r="J20" s="63" t="s">
        <v>6</v>
      </c>
      <c r="K20" s="5"/>
    </row>
    <row r="21" spans="2:11" ht="15.75" customHeight="1">
      <c r="B21" s="5"/>
      <c r="C21" s="3" t="s">
        <v>17</v>
      </c>
      <c r="D21" s="5"/>
      <c r="E21" s="5"/>
      <c r="F21" s="5"/>
      <c r="G21" s="5"/>
      <c r="H21" s="5"/>
      <c r="I21" s="5"/>
      <c r="J21" s="63" t="s">
        <v>6</v>
      </c>
      <c r="K21" s="5"/>
    </row>
    <row r="22" spans="2:11" ht="15.75" customHeight="1">
      <c r="B22" s="5"/>
      <c r="C22" s="5"/>
      <c r="D22" s="5"/>
      <c r="E22" s="5"/>
      <c r="F22" s="5"/>
      <c r="G22" s="5"/>
      <c r="H22" s="5"/>
      <c r="I22" s="5"/>
      <c r="J22" s="5"/>
      <c r="K22" s="5"/>
    </row>
    <row r="23" spans="2:11" ht="15.75" customHeight="1">
      <c r="B23" s="2" t="s">
        <v>18</v>
      </c>
      <c r="C23" s="5"/>
      <c r="D23" s="5"/>
      <c r="E23" s="5"/>
      <c r="F23" s="5"/>
      <c r="G23" s="5"/>
      <c r="H23" s="5"/>
      <c r="I23" s="5"/>
      <c r="J23" s="5"/>
      <c r="K23" s="5"/>
    </row>
    <row r="24" spans="2:11" ht="15.75" customHeight="1">
      <c r="B24" s="5"/>
      <c r="C24" s="3" t="s">
        <v>19</v>
      </c>
      <c r="D24" s="5"/>
      <c r="E24" s="5"/>
      <c r="F24" s="5"/>
      <c r="G24" s="5"/>
      <c r="H24" s="5"/>
      <c r="I24" s="5"/>
      <c r="J24" s="5"/>
      <c r="K24" s="63" t="s">
        <v>6</v>
      </c>
    </row>
    <row r="25" spans="2:11" ht="15.75" customHeight="1">
      <c r="B25" s="5"/>
      <c r="C25" s="3" t="s">
        <v>20</v>
      </c>
      <c r="D25" s="5"/>
      <c r="E25" s="5"/>
      <c r="F25" s="5"/>
      <c r="G25" s="5"/>
      <c r="H25" s="5"/>
      <c r="I25" s="5"/>
      <c r="J25" s="5"/>
      <c r="K25" s="63" t="s">
        <v>6</v>
      </c>
    </row>
    <row r="26" spans="2:11" ht="15.75" customHeight="1">
      <c r="B26" s="5"/>
      <c r="C26" s="3"/>
      <c r="D26" s="5"/>
      <c r="E26" s="5"/>
      <c r="F26" s="5"/>
      <c r="G26" s="5"/>
      <c r="H26" s="5"/>
      <c r="I26" s="5"/>
      <c r="J26" s="5"/>
      <c r="K26" s="5"/>
    </row>
    <row r="27" spans="2:11" ht="15.75" customHeight="1">
      <c r="B27" s="5"/>
      <c r="C27" s="5"/>
      <c r="D27" s="6"/>
      <c r="E27" s="5"/>
      <c r="F27" s="5"/>
      <c r="G27" s="5"/>
      <c r="H27" s="5"/>
      <c r="I27" s="5"/>
      <c r="J27" s="5"/>
      <c r="K27" s="5"/>
    </row>
    <row r="28" spans="2:11" ht="15.75" customHeight="1"/>
    <row r="29" spans="2:11" ht="15.75" customHeight="1"/>
    <row r="30" spans="2:11" ht="15.75" customHeight="1"/>
    <row r="31" spans="2:11" ht="15.75" customHeight="1"/>
    <row r="32" spans="2:11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P1000"/>
  <sheetViews>
    <sheetView topLeftCell="A19" workbookViewId="0">
      <selection activeCell="F38" sqref="F38"/>
    </sheetView>
  </sheetViews>
  <sheetFormatPr defaultColWidth="12.7109375" defaultRowHeight="15" customHeight="1"/>
  <cols>
    <col min="1" max="6" width="12.7109375" customWidth="1"/>
  </cols>
  <sheetData>
    <row r="1" spans="1:16" ht="15.75" customHeight="1">
      <c r="A1" s="7" t="s">
        <v>21</v>
      </c>
      <c r="B1" s="7" t="s">
        <v>22</v>
      </c>
      <c r="C1" s="7" t="s">
        <v>23</v>
      </c>
      <c r="D1" s="7" t="s">
        <v>24</v>
      </c>
      <c r="E1" s="7" t="s">
        <v>25</v>
      </c>
      <c r="F1" s="7" t="s">
        <v>26</v>
      </c>
    </row>
    <row r="2" spans="1:16" ht="15.75" customHeight="1">
      <c r="A2" s="5" t="s">
        <v>27</v>
      </c>
      <c r="B2" s="5" t="s">
        <v>28</v>
      </c>
      <c r="C2" s="5" t="s">
        <v>29</v>
      </c>
      <c r="D2" s="5">
        <v>1000</v>
      </c>
      <c r="E2" s="5">
        <v>30</v>
      </c>
      <c r="F2" s="5" t="s">
        <v>30</v>
      </c>
    </row>
    <row r="3" spans="1:16" ht="15.75" customHeight="1">
      <c r="A3" s="8" t="s">
        <v>31</v>
      </c>
      <c r="B3" s="8" t="s">
        <v>32</v>
      </c>
      <c r="C3" s="8" t="s">
        <v>33</v>
      </c>
      <c r="D3" s="8">
        <v>80</v>
      </c>
      <c r="E3" s="8">
        <v>15</v>
      </c>
      <c r="F3" s="8" t="s">
        <v>34</v>
      </c>
      <c r="I3" s="2"/>
      <c r="J3" s="5"/>
      <c r="K3" s="5"/>
      <c r="L3" s="5"/>
      <c r="M3" s="5"/>
      <c r="N3" s="5"/>
      <c r="O3" s="5"/>
      <c r="P3" s="5"/>
    </row>
    <row r="4" spans="1:16" ht="15.75" customHeight="1">
      <c r="A4" s="5" t="s">
        <v>35</v>
      </c>
      <c r="B4" s="5" t="s">
        <v>36</v>
      </c>
      <c r="C4" s="5" t="s">
        <v>37</v>
      </c>
      <c r="D4" s="5">
        <v>130</v>
      </c>
      <c r="E4" s="5">
        <v>40</v>
      </c>
      <c r="F4" s="5" t="s">
        <v>38</v>
      </c>
      <c r="I4" s="5"/>
      <c r="J4" s="3"/>
      <c r="K4" s="5"/>
      <c r="L4" s="5"/>
      <c r="M4" s="5"/>
      <c r="N4" s="5"/>
      <c r="O4" s="5"/>
      <c r="P4" s="5"/>
    </row>
    <row r="5" spans="1:16" ht="15.75" customHeight="1">
      <c r="A5" s="8" t="s">
        <v>39</v>
      </c>
      <c r="B5" s="8" t="s">
        <v>40</v>
      </c>
      <c r="C5" s="8" t="s">
        <v>41</v>
      </c>
      <c r="D5" s="8">
        <v>900</v>
      </c>
      <c r="E5" s="8">
        <v>25</v>
      </c>
      <c r="F5" s="8" t="s">
        <v>30</v>
      </c>
      <c r="I5" s="5"/>
      <c r="J5" s="3"/>
      <c r="K5" s="5"/>
      <c r="L5" s="5"/>
      <c r="M5" s="5"/>
      <c r="N5" s="5"/>
      <c r="O5" s="5"/>
      <c r="P5" s="5"/>
    </row>
    <row r="6" spans="1:16" ht="15.75" customHeight="1">
      <c r="A6" s="5" t="s">
        <v>42</v>
      </c>
      <c r="B6" s="5" t="s">
        <v>43</v>
      </c>
      <c r="C6" s="5" t="s">
        <v>44</v>
      </c>
      <c r="D6" s="5">
        <v>70</v>
      </c>
      <c r="E6" s="5">
        <v>20</v>
      </c>
      <c r="F6" s="5"/>
    </row>
    <row r="7" spans="1:16" ht="15.75" customHeight="1">
      <c r="A7" s="8" t="s">
        <v>45</v>
      </c>
      <c r="B7" s="8" t="s">
        <v>46</v>
      </c>
      <c r="C7" s="8" t="s">
        <v>47</v>
      </c>
      <c r="D7" s="8"/>
      <c r="E7" s="8">
        <v>45</v>
      </c>
      <c r="F7" s="8" t="s">
        <v>48</v>
      </c>
    </row>
    <row r="8" spans="1:16" ht="15.75" customHeight="1">
      <c r="A8" s="5" t="s">
        <v>49</v>
      </c>
      <c r="B8" s="5" t="s">
        <v>50</v>
      </c>
      <c r="C8" s="5" t="s">
        <v>51</v>
      </c>
      <c r="D8" s="5">
        <v>30</v>
      </c>
      <c r="E8" s="5">
        <v>5</v>
      </c>
      <c r="F8" s="5" t="s">
        <v>34</v>
      </c>
    </row>
    <row r="9" spans="1:16" ht="15.75" customHeight="1">
      <c r="A9" s="8" t="s">
        <v>52</v>
      </c>
      <c r="B9" s="8" t="s">
        <v>53</v>
      </c>
      <c r="C9" s="8" t="s">
        <v>54</v>
      </c>
      <c r="D9" s="8">
        <v>90</v>
      </c>
      <c r="E9" s="8">
        <v>35</v>
      </c>
      <c r="F9" s="8" t="s">
        <v>38</v>
      </c>
    </row>
    <row r="10" spans="1:16" ht="15.75" customHeight="1">
      <c r="A10" s="5" t="s">
        <v>55</v>
      </c>
      <c r="B10" s="5" t="s">
        <v>56</v>
      </c>
      <c r="C10" s="5" t="s">
        <v>57</v>
      </c>
      <c r="D10" s="5">
        <v>500</v>
      </c>
      <c r="E10" s="5">
        <v>50</v>
      </c>
      <c r="F10" s="5" t="s">
        <v>30</v>
      </c>
    </row>
    <row r="11" spans="1:16" ht="15.75" customHeight="1">
      <c r="A11" s="8" t="s">
        <v>58</v>
      </c>
      <c r="B11" s="8" t="s">
        <v>59</v>
      </c>
      <c r="C11" s="8" t="s">
        <v>60</v>
      </c>
      <c r="D11" s="8">
        <v>130</v>
      </c>
      <c r="E11" s="8">
        <v>10</v>
      </c>
      <c r="F11" s="8" t="s">
        <v>61</v>
      </c>
    </row>
    <row r="12" spans="1:16" ht="15.75" customHeight="1">
      <c r="A12" s="5" t="s">
        <v>62</v>
      </c>
      <c r="B12" s="5" t="s">
        <v>63</v>
      </c>
      <c r="C12" s="5" t="s">
        <v>64</v>
      </c>
      <c r="D12" s="5">
        <v>950</v>
      </c>
      <c r="E12" s="5">
        <v>25</v>
      </c>
      <c r="F12" s="5" t="s">
        <v>30</v>
      </c>
    </row>
    <row r="13" spans="1:16" ht="15.75" customHeight="1">
      <c r="A13" s="8" t="s">
        <v>65</v>
      </c>
      <c r="B13" s="8" t="s">
        <v>32</v>
      </c>
      <c r="C13" s="8" t="s">
        <v>51</v>
      </c>
      <c r="D13" s="8">
        <v>90</v>
      </c>
      <c r="E13" s="8">
        <v>40</v>
      </c>
      <c r="F13" s="8"/>
    </row>
    <row r="14" spans="1:16" ht="15.75" customHeight="1">
      <c r="A14" s="5" t="s">
        <v>66</v>
      </c>
      <c r="B14" s="5" t="s">
        <v>36</v>
      </c>
      <c r="C14" s="5" t="s">
        <v>67</v>
      </c>
      <c r="D14" s="5">
        <v>120</v>
      </c>
      <c r="E14" s="5">
        <v>35</v>
      </c>
      <c r="F14" s="5"/>
    </row>
    <row r="15" spans="1:16" ht="15.75" customHeight="1">
      <c r="A15" s="8" t="s">
        <v>68</v>
      </c>
      <c r="B15" s="8" t="s">
        <v>69</v>
      </c>
      <c r="C15" s="8" t="s">
        <v>70</v>
      </c>
      <c r="D15" s="8">
        <v>150</v>
      </c>
      <c r="E15" s="8">
        <v>15</v>
      </c>
      <c r="F15" s="8" t="s">
        <v>48</v>
      </c>
    </row>
    <row r="16" spans="1:16" ht="15.75" customHeight="1">
      <c r="A16" s="5" t="s">
        <v>71</v>
      </c>
      <c r="B16" s="5" t="s">
        <v>72</v>
      </c>
      <c r="C16" s="5" t="s">
        <v>73</v>
      </c>
      <c r="D16" s="5">
        <v>250</v>
      </c>
      <c r="E16" s="5">
        <v>20</v>
      </c>
      <c r="F16" s="5" t="s">
        <v>48</v>
      </c>
    </row>
    <row r="17" spans="1:6" ht="15.75" customHeight="1">
      <c r="A17" s="8" t="s">
        <v>74</v>
      </c>
      <c r="B17" s="8" t="s">
        <v>75</v>
      </c>
      <c r="C17" s="8" t="s">
        <v>76</v>
      </c>
      <c r="D17" s="8">
        <v>50</v>
      </c>
      <c r="E17" s="8">
        <v>35</v>
      </c>
      <c r="F17" s="8" t="s">
        <v>77</v>
      </c>
    </row>
    <row r="18" spans="1:6" ht="15.75" customHeight="1">
      <c r="A18" s="5" t="s">
        <v>78</v>
      </c>
      <c r="B18" s="5" t="s">
        <v>69</v>
      </c>
      <c r="C18" s="5" t="s">
        <v>79</v>
      </c>
      <c r="D18" s="5">
        <v>160</v>
      </c>
      <c r="E18" s="5">
        <v>15</v>
      </c>
      <c r="F18" s="5" t="s">
        <v>48</v>
      </c>
    </row>
    <row r="19" spans="1:6" ht="15.75" customHeight="1">
      <c r="A19" s="8" t="s">
        <v>80</v>
      </c>
      <c r="B19" s="8" t="s">
        <v>28</v>
      </c>
      <c r="C19" s="8" t="s">
        <v>81</v>
      </c>
      <c r="D19" s="8">
        <v>980</v>
      </c>
      <c r="E19" s="8">
        <v>10</v>
      </c>
      <c r="F19" s="8" t="s">
        <v>30</v>
      </c>
    </row>
    <row r="20" spans="1:6" ht="15.75" customHeight="1">
      <c r="A20" s="5" t="s">
        <v>82</v>
      </c>
      <c r="B20" s="5" t="s">
        <v>83</v>
      </c>
      <c r="C20" s="5" t="s">
        <v>84</v>
      </c>
      <c r="D20" s="5">
        <v>150</v>
      </c>
      <c r="E20" s="5">
        <v>15</v>
      </c>
      <c r="F20" s="5" t="s">
        <v>34</v>
      </c>
    </row>
    <row r="21" spans="1:6" ht="15.75" customHeight="1">
      <c r="A21" s="8" t="s">
        <v>85</v>
      </c>
      <c r="B21" s="8" t="s">
        <v>86</v>
      </c>
      <c r="C21" s="8" t="s">
        <v>87</v>
      </c>
      <c r="D21" s="8"/>
      <c r="E21" s="8">
        <v>10</v>
      </c>
      <c r="F21" s="8" t="s">
        <v>61</v>
      </c>
    </row>
    <row r="22" spans="1:6" ht="15.75" customHeight="1">
      <c r="A22" s="5" t="s">
        <v>88</v>
      </c>
      <c r="B22" s="5" t="s">
        <v>89</v>
      </c>
      <c r="C22" s="5" t="s">
        <v>90</v>
      </c>
      <c r="D22" s="5">
        <v>700</v>
      </c>
      <c r="E22" s="5">
        <v>50</v>
      </c>
      <c r="F22" s="5" t="s">
        <v>30</v>
      </c>
    </row>
    <row r="23" spans="1:6" ht="15.75" customHeight="1">
      <c r="A23" s="8" t="s">
        <v>91</v>
      </c>
      <c r="B23" s="8" t="s">
        <v>92</v>
      </c>
      <c r="C23" s="8" t="s">
        <v>93</v>
      </c>
      <c r="D23" s="8">
        <v>80</v>
      </c>
      <c r="E23" s="8">
        <v>20</v>
      </c>
      <c r="F23" s="8" t="s">
        <v>38</v>
      </c>
    </row>
    <row r="24" spans="1:6" ht="15.75" customHeight="1">
      <c r="A24" s="5" t="s">
        <v>94</v>
      </c>
      <c r="B24" s="5" t="s">
        <v>95</v>
      </c>
      <c r="C24" s="5" t="s">
        <v>96</v>
      </c>
      <c r="D24" s="5">
        <v>150</v>
      </c>
      <c r="E24" s="5">
        <v>30</v>
      </c>
      <c r="F24" s="5"/>
    </row>
    <row r="25" spans="1:6" ht="15.75" customHeight="1">
      <c r="A25" s="8" t="s">
        <v>74</v>
      </c>
      <c r="B25" s="8" t="s">
        <v>75</v>
      </c>
      <c r="C25" s="8" t="s">
        <v>76</v>
      </c>
      <c r="D25" s="8">
        <v>50</v>
      </c>
      <c r="E25" s="8">
        <v>35</v>
      </c>
      <c r="F25" s="8" t="s">
        <v>77</v>
      </c>
    </row>
    <row r="26" spans="1:6" ht="15.75" customHeight="1">
      <c r="A26" s="5" t="s">
        <v>97</v>
      </c>
      <c r="B26" s="5" t="s">
        <v>98</v>
      </c>
      <c r="C26" s="5" t="s">
        <v>99</v>
      </c>
      <c r="D26" s="5">
        <v>800</v>
      </c>
      <c r="E26" s="5">
        <v>45</v>
      </c>
      <c r="F26" s="5" t="s">
        <v>30</v>
      </c>
    </row>
    <row r="27" spans="1:6" ht="15.75" customHeight="1">
      <c r="A27" s="8" t="s">
        <v>100</v>
      </c>
      <c r="B27" s="8" t="s">
        <v>83</v>
      </c>
      <c r="C27" s="8" t="s">
        <v>101</v>
      </c>
      <c r="D27" s="8"/>
      <c r="E27" s="8">
        <v>25</v>
      </c>
      <c r="F27" s="8" t="s">
        <v>34</v>
      </c>
    </row>
    <row r="28" spans="1:6" ht="15.75" customHeight="1">
      <c r="A28" s="5" t="s">
        <v>102</v>
      </c>
      <c r="B28" s="5" t="s">
        <v>53</v>
      </c>
      <c r="C28" s="5" t="s">
        <v>103</v>
      </c>
      <c r="D28" s="5">
        <v>400</v>
      </c>
      <c r="E28" s="5">
        <v>40</v>
      </c>
      <c r="F28" s="5" t="s">
        <v>38</v>
      </c>
    </row>
    <row r="29" spans="1:6" ht="15.75" customHeight="1">
      <c r="A29" s="8" t="s">
        <v>71</v>
      </c>
      <c r="B29" s="8" t="s">
        <v>72</v>
      </c>
      <c r="C29" s="8" t="s">
        <v>73</v>
      </c>
      <c r="D29" s="8">
        <v>250</v>
      </c>
      <c r="E29" s="8">
        <v>20</v>
      </c>
      <c r="F29" s="8" t="s">
        <v>48</v>
      </c>
    </row>
    <row r="30" spans="1:6" ht="15.75" customHeight="1">
      <c r="A30" s="5" t="s">
        <v>104</v>
      </c>
      <c r="B30" s="5" t="s">
        <v>105</v>
      </c>
      <c r="C30" s="5" t="s">
        <v>106</v>
      </c>
      <c r="D30" s="5">
        <v>60</v>
      </c>
      <c r="E30" s="5">
        <v>30</v>
      </c>
      <c r="F30" s="5" t="s">
        <v>34</v>
      </c>
    </row>
    <row r="31" spans="1:6" ht="15.75" customHeight="1">
      <c r="A31" s="8" t="s">
        <v>107</v>
      </c>
      <c r="B31" s="8" t="s">
        <v>108</v>
      </c>
      <c r="C31" s="8" t="s">
        <v>109</v>
      </c>
      <c r="D31" s="8">
        <v>40</v>
      </c>
      <c r="E31" s="8">
        <v>10</v>
      </c>
      <c r="F31" s="8" t="s">
        <v>38</v>
      </c>
    </row>
    <row r="32" spans="1:6" ht="15.75" customHeight="1">
      <c r="A32" s="5" t="s">
        <v>110</v>
      </c>
      <c r="B32" s="5" t="s">
        <v>95</v>
      </c>
      <c r="C32" s="5" t="s">
        <v>111</v>
      </c>
      <c r="D32" s="5">
        <v>130</v>
      </c>
      <c r="E32" s="5">
        <v>5</v>
      </c>
      <c r="F32" s="5" t="s">
        <v>30</v>
      </c>
    </row>
    <row r="33" spans="1:6" ht="15.75" customHeight="1">
      <c r="A33" s="8" t="s">
        <v>112</v>
      </c>
      <c r="B33" s="8" t="s">
        <v>113</v>
      </c>
      <c r="C33" s="8" t="s">
        <v>114</v>
      </c>
      <c r="D33" s="8">
        <v>50</v>
      </c>
      <c r="E33" s="8">
        <v>50</v>
      </c>
      <c r="F33" s="8" t="s">
        <v>34</v>
      </c>
    </row>
    <row r="34" spans="1:6" ht="15.75" customHeight="1">
      <c r="A34" s="5" t="s">
        <v>62</v>
      </c>
      <c r="B34" s="5" t="s">
        <v>63</v>
      </c>
      <c r="C34" s="5" t="s">
        <v>64</v>
      </c>
      <c r="D34" s="5">
        <v>950</v>
      </c>
      <c r="E34" s="5">
        <v>25</v>
      </c>
      <c r="F34" s="5" t="s">
        <v>30</v>
      </c>
    </row>
    <row r="35" spans="1:6" ht="15.75" customHeight="1">
      <c r="A35" s="8" t="s">
        <v>115</v>
      </c>
      <c r="B35" s="8" t="s">
        <v>116</v>
      </c>
      <c r="C35" s="8" t="s">
        <v>117</v>
      </c>
      <c r="D35" s="8">
        <v>100</v>
      </c>
      <c r="E35" s="8">
        <v>20</v>
      </c>
      <c r="F35" s="8" t="s">
        <v>77</v>
      </c>
    </row>
    <row r="36" spans="1:6" ht="15.75" customHeight="1"/>
    <row r="37" spans="1:6" ht="15.75" customHeight="1"/>
    <row r="38" spans="1:6" ht="15.75" customHeight="1"/>
    <row r="39" spans="1:6" ht="15.75" customHeight="1"/>
    <row r="40" spans="1:6" ht="15.75" customHeight="1"/>
    <row r="41" spans="1:6" ht="15.75" customHeight="1"/>
    <row r="42" spans="1:6" ht="15.75" customHeight="1"/>
    <row r="43" spans="1:6" ht="15.75" customHeight="1"/>
    <row r="44" spans="1:6" ht="15.75" customHeight="1"/>
    <row r="45" spans="1:6" ht="15.75" customHeight="1"/>
    <row r="46" spans="1:6" ht="15.75" customHeight="1"/>
    <row r="47" spans="1:6" ht="15.75" customHeight="1"/>
    <row r="48" spans="1:6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468FA5-2F73-4780-836F-D500A5D793EB}">
  <dimension ref="A1:L32"/>
  <sheetViews>
    <sheetView topLeftCell="E1" workbookViewId="0">
      <selection activeCell="J1" sqref="J1:J1048576"/>
    </sheetView>
  </sheetViews>
  <sheetFormatPr defaultRowHeight="13.15"/>
  <cols>
    <col min="1" max="1" width="15.42578125" style="9" customWidth="1"/>
    <col min="2" max="2" width="21.140625" style="15" customWidth="1"/>
    <col min="3" max="3" width="21.140625" style="13" customWidth="1"/>
    <col min="4" max="4" width="18" style="10" customWidth="1"/>
    <col min="5" max="5" width="18.42578125" style="11" customWidth="1"/>
    <col min="6" max="6" width="21.42578125" style="13" customWidth="1"/>
    <col min="7" max="7" width="16.28515625" style="13" customWidth="1"/>
    <col min="8" max="8" width="23.5703125" style="12" customWidth="1"/>
    <col min="9" max="9" width="17.28515625" customWidth="1"/>
    <col min="10" max="10" width="9.140625" style="16" bestFit="1" customWidth="1"/>
    <col min="11" max="12" width="8.85546875" bestFit="1" customWidth="1"/>
  </cols>
  <sheetData>
    <row r="1" spans="1:12" ht="28.5">
      <c r="A1" s="17" t="s">
        <v>118</v>
      </c>
      <c r="B1" s="18" t="s">
        <v>119</v>
      </c>
      <c r="C1" s="19" t="s">
        <v>120</v>
      </c>
      <c r="D1" s="20" t="s">
        <v>121</v>
      </c>
      <c r="E1" s="21" t="s">
        <v>122</v>
      </c>
      <c r="F1" s="22" t="s">
        <v>123</v>
      </c>
      <c r="G1" s="22" t="s">
        <v>124</v>
      </c>
      <c r="H1" s="23" t="s">
        <v>125</v>
      </c>
      <c r="I1" s="24" t="s">
        <v>126</v>
      </c>
      <c r="J1" s="25" t="s">
        <v>127</v>
      </c>
      <c r="K1" s="26" t="s">
        <v>25</v>
      </c>
      <c r="L1" s="22" t="s">
        <v>26</v>
      </c>
    </row>
    <row r="2" spans="1:12" ht="14.25">
      <c r="A2" s="27" t="s">
        <v>27</v>
      </c>
      <c r="B2" s="28">
        <f>DATEVALUE(C2)</f>
        <v>46050</v>
      </c>
      <c r="C2" s="29" t="str">
        <f>LEFT(Table1[[#This Row],[Product_ID]],6)</f>
        <v>28-JAN</v>
      </c>
      <c r="D2" s="27" t="str">
        <f>RIGHT(Table1[[#This Row],[Product_ID]],2)</f>
        <v>US</v>
      </c>
      <c r="E2" s="30" t="s">
        <v>28</v>
      </c>
      <c r="F2" s="30" t="str">
        <f>PROPER(Table1[[#This Row],[OLD_Product Name]])</f>
        <v>Laptop</v>
      </c>
      <c r="G2" s="30" t="s">
        <v>29</v>
      </c>
      <c r="H2" s="31" t="str">
        <f>CONCATENATE(Table1[[#This Row],[Brand_Name]]," ",Table1[[#This Row],[Product_Name]])</f>
        <v>Dell Laptop</v>
      </c>
      <c r="I2" s="32">
        <v>1000</v>
      </c>
      <c r="J2" s="33">
        <f>IF(I2="",AVERAGEIF(Table1[Category],Table1[[#This Row],[Category]],Table1[Old_Price column]),I2)</f>
        <v>1000</v>
      </c>
      <c r="K2" s="32">
        <v>30</v>
      </c>
      <c r="L2" s="30" t="s">
        <v>30</v>
      </c>
    </row>
    <row r="3" spans="1:12" ht="14.25">
      <c r="A3" s="34" t="s">
        <v>31</v>
      </c>
      <c r="B3" s="35">
        <f t="shared" ref="B3:B32" si="0">DATEVALUE(C3)</f>
        <v>46068</v>
      </c>
      <c r="C3" s="36" t="str">
        <f>LEFT(Table1[[#This Row],[Product_ID]],6)</f>
        <v>15-FEB</v>
      </c>
      <c r="D3" s="34" t="str">
        <f>RIGHT(Table1[[#This Row],[Product_ID]],2)</f>
        <v>US</v>
      </c>
      <c r="E3" s="37" t="s">
        <v>32</v>
      </c>
      <c r="F3" s="37" t="str">
        <f>PROPER(Table1[[#This Row],[OLD_Product Name]])</f>
        <v>Sneakers</v>
      </c>
      <c r="G3" s="37" t="s">
        <v>33</v>
      </c>
      <c r="H3" s="38" t="str">
        <f>CONCATENATE(Table1[[#This Row],[Brand_Name]]," ",Table1[[#This Row],[Product_Name]])</f>
        <v>Nike Sneakers</v>
      </c>
      <c r="I3" s="39">
        <v>80</v>
      </c>
      <c r="J3" s="40">
        <f>IF(I3="",AVERAGEIF(Table1[Category],Table1[[#This Row],[Category]],Table1[Old_Price column]),I3)</f>
        <v>80</v>
      </c>
      <c r="K3" s="39">
        <v>15</v>
      </c>
      <c r="L3" s="37" t="s">
        <v>34</v>
      </c>
    </row>
    <row r="4" spans="1:12" ht="14.25">
      <c r="A4" s="27" t="s">
        <v>35</v>
      </c>
      <c r="B4" s="28">
        <f t="shared" si="0"/>
        <v>46084</v>
      </c>
      <c r="C4" s="29" t="str">
        <f>LEFT(Table1[[#This Row],[Product_ID]],6)</f>
        <v>03-MAR</v>
      </c>
      <c r="D4" s="27" t="str">
        <f>RIGHT(Table1[[#This Row],[Product_ID]],2)</f>
        <v>US</v>
      </c>
      <c r="E4" s="30" t="s">
        <v>36</v>
      </c>
      <c r="F4" s="30" t="str">
        <f>PROPER(Table1[[#This Row],[OLD_Product Name]])</f>
        <v>Coffee Maker</v>
      </c>
      <c r="G4" s="30" t="s">
        <v>37</v>
      </c>
      <c r="H4" s="41" t="str">
        <f>CONCATENATE(Table1[[#This Row],[Brand_Name]]," ",Table1[[#This Row],[Product_Name]])</f>
        <v>Keurig Coffee Maker</v>
      </c>
      <c r="I4" s="32">
        <v>130</v>
      </c>
      <c r="J4" s="33">
        <f>IF(I4="",AVERAGEIF(Table1[Category],Table1[[#This Row],[Category]],Table1[Old_Price column]),I4)</f>
        <v>130</v>
      </c>
      <c r="K4" s="32">
        <v>40</v>
      </c>
      <c r="L4" s="30" t="s">
        <v>38</v>
      </c>
    </row>
    <row r="5" spans="1:12" ht="14.25">
      <c r="A5" s="34" t="s">
        <v>39</v>
      </c>
      <c r="B5" s="35">
        <f t="shared" si="0"/>
        <v>46123</v>
      </c>
      <c r="C5" s="36" t="str">
        <f>LEFT(Table1[[#This Row],[Product_ID]],6)</f>
        <v>11-APR</v>
      </c>
      <c r="D5" s="34" t="str">
        <f>RIGHT(Table1[[#This Row],[Product_ID]],2)</f>
        <v>US</v>
      </c>
      <c r="E5" s="37" t="s">
        <v>40</v>
      </c>
      <c r="F5" s="37" t="str">
        <f>PROPER(Table1[[#This Row],[OLD_Product Name]])</f>
        <v>Smartphone</v>
      </c>
      <c r="G5" s="37" t="s">
        <v>41</v>
      </c>
      <c r="H5" s="38" t="str">
        <f>CONCATENATE(Table1[[#This Row],[Brand_Name]]," ",Table1[[#This Row],[Product_Name]])</f>
        <v>Samsung Smartphone</v>
      </c>
      <c r="I5" s="39">
        <v>900</v>
      </c>
      <c r="J5" s="40">
        <f>IF(I5="",AVERAGEIF(Table1[Category],Table1[[#This Row],[Category]],Table1[Old_Price column]),I5)</f>
        <v>900</v>
      </c>
      <c r="K5" s="39">
        <v>25</v>
      </c>
      <c r="L5" s="37" t="s">
        <v>30</v>
      </c>
    </row>
    <row r="6" spans="1:12" ht="14.25">
      <c r="A6" s="27" t="s">
        <v>42</v>
      </c>
      <c r="B6" s="28">
        <f t="shared" si="0"/>
        <v>46164</v>
      </c>
      <c r="C6" s="29" t="str">
        <f>LEFT(Table1[[#This Row],[Product_ID]],6)</f>
        <v>22-MAY</v>
      </c>
      <c r="D6" s="27" t="str">
        <f>RIGHT(Table1[[#This Row],[Product_ID]],2)</f>
        <v>US</v>
      </c>
      <c r="E6" s="30" t="s">
        <v>43</v>
      </c>
      <c r="F6" s="30" t="str">
        <f>PROPER(Table1[[#This Row],[OLD_Product Name]])</f>
        <v>Backpack</v>
      </c>
      <c r="G6" s="30" t="s">
        <v>44</v>
      </c>
      <c r="H6" s="41" t="str">
        <f>CONCATENATE(Table1[[#This Row],[Brand_Name]]," ",Table1[[#This Row],[Product_Name]])</f>
        <v>North Face Backpack</v>
      </c>
      <c r="I6" s="32">
        <v>70</v>
      </c>
      <c r="J6" s="33">
        <f>IF(I6="",AVERAGEIF(Table1[Category],Table1[[#This Row],[Category]],Table1[Old_Price column]),I6)</f>
        <v>70</v>
      </c>
      <c r="K6" s="32">
        <v>20</v>
      </c>
      <c r="L6" s="30" t="s">
        <v>77</v>
      </c>
    </row>
    <row r="7" spans="1:12" ht="14.25">
      <c r="A7" s="34" t="s">
        <v>45</v>
      </c>
      <c r="B7" s="35">
        <f t="shared" si="0"/>
        <v>46180</v>
      </c>
      <c r="C7" s="36" t="str">
        <f>LEFT(Table1[[#This Row],[Product_ID]],6)</f>
        <v>07-JUN</v>
      </c>
      <c r="D7" s="34" t="str">
        <f>RIGHT(Table1[[#This Row],[Product_ID]],2)</f>
        <v>UK</v>
      </c>
      <c r="E7" s="37" t="s">
        <v>46</v>
      </c>
      <c r="F7" s="37" t="str">
        <f>PROPER(Table1[[#This Row],[OLD_Product Name]])</f>
        <v>Headphones</v>
      </c>
      <c r="G7" s="37" t="s">
        <v>47</v>
      </c>
      <c r="H7" s="38" t="str">
        <f>CONCATENATE(Table1[[#This Row],[Brand_Name]]," ",Table1[[#This Row],[Product_Name]])</f>
        <v>Sony Headphones</v>
      </c>
      <c r="I7" s="39"/>
      <c r="J7" s="40">
        <f>IF(I7="",AVERAGEIF(Table1[Category],Table1[[#This Row],[Category]],Table1[Old_Price column]),I7)</f>
        <v>555.83333333333337</v>
      </c>
      <c r="K7" s="39">
        <v>45</v>
      </c>
      <c r="L7" s="37" t="s">
        <v>30</v>
      </c>
    </row>
    <row r="8" spans="1:12" ht="14.25">
      <c r="A8" s="27" t="s">
        <v>49</v>
      </c>
      <c r="B8" s="28">
        <f t="shared" si="0"/>
        <v>46222</v>
      </c>
      <c r="C8" s="29" t="str">
        <f>LEFT(Table1[[#This Row],[Product_ID]],6)</f>
        <v>19-JUL</v>
      </c>
      <c r="D8" s="27" t="str">
        <f>RIGHT(Table1[[#This Row],[Product_ID]],2)</f>
        <v>UK</v>
      </c>
      <c r="E8" s="30" t="s">
        <v>50</v>
      </c>
      <c r="F8" s="30" t="str">
        <f>PROPER(Table1[[#This Row],[OLD_Product Name]])</f>
        <v>T-Shirt</v>
      </c>
      <c r="G8" s="30" t="s">
        <v>51</v>
      </c>
      <c r="H8" s="41" t="str">
        <f>CONCATENATE(Table1[[#This Row],[Brand_Name]]," ",Table1[[#This Row],[Product_Name]])</f>
        <v>Adidas T-Shirt</v>
      </c>
      <c r="I8" s="32">
        <v>30</v>
      </c>
      <c r="J8" s="33">
        <f>IF(I8="",AVERAGEIF(Table1[Category],Table1[[#This Row],[Category]],Table1[Old_Price column]),I8)</f>
        <v>30</v>
      </c>
      <c r="K8" s="32">
        <v>5</v>
      </c>
      <c r="L8" s="30" t="s">
        <v>34</v>
      </c>
    </row>
    <row r="9" spans="1:12" ht="14.25">
      <c r="A9" s="34" t="s">
        <v>52</v>
      </c>
      <c r="B9" s="35">
        <f t="shared" si="0"/>
        <v>46257</v>
      </c>
      <c r="C9" s="36" t="str">
        <f>LEFT(Table1[[#This Row],[Product_ID]],6)</f>
        <v>23-AUG</v>
      </c>
      <c r="D9" s="34" t="str">
        <f>RIGHT(Table1[[#This Row],[Product_ID]],2)</f>
        <v>UK</v>
      </c>
      <c r="E9" s="37" t="s">
        <v>53</v>
      </c>
      <c r="F9" s="37" t="str">
        <f>PROPER(Table1[[#This Row],[OLD_Product Name]])</f>
        <v>Blender</v>
      </c>
      <c r="G9" s="37" t="s">
        <v>54</v>
      </c>
      <c r="H9" s="38" t="str">
        <f>CONCATENATE(Table1[[#This Row],[Brand_Name]]," ",Table1[[#This Row],[Product_Name]])</f>
        <v>Ninja Blender</v>
      </c>
      <c r="I9" s="39">
        <v>90</v>
      </c>
      <c r="J9" s="40">
        <f>IF(I9="",AVERAGEIF(Table1[Category],Table1[[#This Row],[Category]],Table1[Old_Price column]),I9)</f>
        <v>90</v>
      </c>
      <c r="K9" s="39">
        <v>35</v>
      </c>
      <c r="L9" s="37" t="s">
        <v>38</v>
      </c>
    </row>
    <row r="10" spans="1:12" ht="14.25">
      <c r="A10" s="27" t="s">
        <v>55</v>
      </c>
      <c r="B10" s="28">
        <f t="shared" si="0"/>
        <v>46270</v>
      </c>
      <c r="C10" s="29" t="str">
        <f>LEFT(Table1[[#This Row],[Product_ID]],6)</f>
        <v>05-SEP</v>
      </c>
      <c r="D10" s="27" t="str">
        <f>RIGHT(Table1[[#This Row],[Product_ID]],2)</f>
        <v>UK</v>
      </c>
      <c r="E10" s="30" t="s">
        <v>56</v>
      </c>
      <c r="F10" s="30" t="str">
        <f>PROPER(Table1[[#This Row],[OLD_Product Name]])</f>
        <v>Tablet</v>
      </c>
      <c r="G10" s="30" t="s">
        <v>57</v>
      </c>
      <c r="H10" s="41" t="str">
        <f>CONCATENATE(Table1[[#This Row],[Brand_Name]]," ",Table1[[#This Row],[Product_Name]])</f>
        <v>Apple Tablet</v>
      </c>
      <c r="I10" s="32">
        <v>500</v>
      </c>
      <c r="J10" s="33">
        <f>IF(I10="",AVERAGEIF(Table1[Category],Table1[[#This Row],[Category]],Table1[Old_Price column]),I10)</f>
        <v>500</v>
      </c>
      <c r="K10" s="32">
        <v>50</v>
      </c>
      <c r="L10" s="30" t="s">
        <v>30</v>
      </c>
    </row>
    <row r="11" spans="1:12" ht="14.25">
      <c r="A11" s="34" t="s">
        <v>58</v>
      </c>
      <c r="B11" s="35">
        <f t="shared" si="0"/>
        <v>46309</v>
      </c>
      <c r="C11" s="36" t="str">
        <f>LEFT(Table1[[#This Row],[Product_ID]],6)</f>
        <v>14-OCT</v>
      </c>
      <c r="D11" s="34" t="str">
        <f>RIGHT(Table1[[#This Row],[Product_ID]],2)</f>
        <v>UK</v>
      </c>
      <c r="E11" s="37" t="s">
        <v>59</v>
      </c>
      <c r="F11" s="37" t="str">
        <f>PROPER(Table1[[#This Row],[OLD_Product Name]])</f>
        <v>Hiking Boots</v>
      </c>
      <c r="G11" s="37" t="s">
        <v>60</v>
      </c>
      <c r="H11" s="38" t="str">
        <f>CONCATENATE(Table1[[#This Row],[Brand_Name]]," ",Table1[[#This Row],[Product_Name]])</f>
        <v>Timberland Hiking Boots</v>
      </c>
      <c r="I11" s="39">
        <v>130</v>
      </c>
      <c r="J11" s="40">
        <f>IF(I11="",AVERAGEIF(Table1[Category],Table1[[#This Row],[Category]],Table1[Old_Price column]),I11)</f>
        <v>130</v>
      </c>
      <c r="K11" s="39">
        <v>10</v>
      </c>
      <c r="L11" s="37" t="s">
        <v>61</v>
      </c>
    </row>
    <row r="12" spans="1:12" ht="14.25">
      <c r="A12" s="27" t="s">
        <v>62</v>
      </c>
      <c r="B12" s="28">
        <f t="shared" si="0"/>
        <v>46190</v>
      </c>
      <c r="C12" s="29" t="str">
        <f>LEFT(Table1[[#This Row],[Product_ID]],6)</f>
        <v>17-JUN</v>
      </c>
      <c r="D12" s="27" t="str">
        <f>RIGHT(Table1[[#This Row],[Product_ID]],2)</f>
        <v>IN</v>
      </c>
      <c r="E12" s="30" t="s">
        <v>63</v>
      </c>
      <c r="F12" s="30" t="str">
        <f>PROPER(Table1[[#This Row],[OLD_Product Name]])</f>
        <v>Laptop</v>
      </c>
      <c r="G12" s="30" t="s">
        <v>64</v>
      </c>
      <c r="H12" s="41" t="str">
        <f>CONCATENATE(Table1[[#This Row],[Brand_Name]]," ",Table1[[#This Row],[Product_Name]])</f>
        <v>HP Laptop</v>
      </c>
      <c r="I12" s="32">
        <v>950</v>
      </c>
      <c r="J12" s="33">
        <f>IF(I12="",AVERAGEIF(Table1[Category],Table1[[#This Row],[Category]],Table1[Old_Price column]),I12)</f>
        <v>950</v>
      </c>
      <c r="K12" s="32">
        <v>25</v>
      </c>
      <c r="L12" s="30" t="s">
        <v>30</v>
      </c>
    </row>
    <row r="13" spans="1:12" ht="14.25">
      <c r="A13" s="34" t="s">
        <v>65</v>
      </c>
      <c r="B13" s="35">
        <f t="shared" si="0"/>
        <v>46351</v>
      </c>
      <c r="C13" s="36" t="str">
        <f>LEFT(Table1[[#This Row],[Product_ID]],6)</f>
        <v>25-NOV</v>
      </c>
      <c r="D13" s="34" t="str">
        <f>RIGHT(Table1[[#This Row],[Product_ID]],2)</f>
        <v>AU</v>
      </c>
      <c r="E13" s="37" t="s">
        <v>32</v>
      </c>
      <c r="F13" s="37" t="str">
        <f>PROPER(Table1[[#This Row],[OLD_Product Name]])</f>
        <v>Sneakers</v>
      </c>
      <c r="G13" s="37" t="s">
        <v>51</v>
      </c>
      <c r="H13" s="38" t="str">
        <f>CONCATENATE(Table1[[#This Row],[Brand_Name]]," ",Table1[[#This Row],[Product_Name]])</f>
        <v>Adidas Sneakers</v>
      </c>
      <c r="I13" s="39">
        <v>90</v>
      </c>
      <c r="J13" s="40">
        <f>IF(I13="",AVERAGEIF(Table1[Category],Table1[[#This Row],[Category]],Table1[Old_Price column]),I13)</f>
        <v>90</v>
      </c>
      <c r="K13" s="39">
        <v>40</v>
      </c>
      <c r="L13" s="37" t="s">
        <v>34</v>
      </c>
    </row>
    <row r="14" spans="1:12" ht="14.25">
      <c r="A14" s="27" t="s">
        <v>66</v>
      </c>
      <c r="B14" s="28">
        <f t="shared" si="0"/>
        <v>46364</v>
      </c>
      <c r="C14" s="29" t="str">
        <f>LEFT(Table1[[#This Row],[Product_ID]],6)</f>
        <v>08-DEC</v>
      </c>
      <c r="D14" s="27" t="str">
        <f>RIGHT(Table1[[#This Row],[Product_ID]],2)</f>
        <v>DE</v>
      </c>
      <c r="E14" s="30" t="s">
        <v>36</v>
      </c>
      <c r="F14" s="30" t="str">
        <f>PROPER(Table1[[#This Row],[OLD_Product Name]])</f>
        <v>Coffee Maker</v>
      </c>
      <c r="G14" s="30" t="s">
        <v>67</v>
      </c>
      <c r="H14" s="41" t="str">
        <f>CONCATENATE(Table1[[#This Row],[Brand_Name]]," ",Table1[[#This Row],[Product_Name]])</f>
        <v>Nespresso Coffee Maker</v>
      </c>
      <c r="I14" s="32">
        <v>120</v>
      </c>
      <c r="J14" s="33">
        <f>IF(I14="",AVERAGEIF(Table1[Category],Table1[[#This Row],[Category]],Table1[Old_Price column]),I14)</f>
        <v>120</v>
      </c>
      <c r="K14" s="32">
        <v>35</v>
      </c>
      <c r="L14" s="30" t="s">
        <v>38</v>
      </c>
    </row>
    <row r="15" spans="1:12" ht="14.25">
      <c r="A15" s="34" t="s">
        <v>68</v>
      </c>
      <c r="B15" s="35">
        <f t="shared" si="0"/>
        <v>46071</v>
      </c>
      <c r="C15" s="36" t="str">
        <f>LEFT(Table1[[#This Row],[Product_ID]],6)</f>
        <v>18-FEB</v>
      </c>
      <c r="D15" s="34" t="str">
        <f>RIGHT(Table1[[#This Row],[Product_ID]],2)</f>
        <v>CA</v>
      </c>
      <c r="E15" s="37" t="s">
        <v>69</v>
      </c>
      <c r="F15" s="37" t="str">
        <f>PROPER(Table1[[#This Row],[OLD_Product Name]])</f>
        <v>Smartwatch</v>
      </c>
      <c r="G15" s="37" t="s">
        <v>70</v>
      </c>
      <c r="H15" s="38" t="str">
        <f>CONCATENATE(Table1[[#This Row],[Brand_Name]]," ",Table1[[#This Row],[Product_Name]])</f>
        <v>Fitbit Smartwatch</v>
      </c>
      <c r="I15" s="39">
        <v>150</v>
      </c>
      <c r="J15" s="40">
        <f>IF(I15="",AVERAGEIF(Table1[Category],Table1[[#This Row],[Category]],Table1[Old_Price column]),I15)</f>
        <v>150</v>
      </c>
      <c r="K15" s="39">
        <v>15</v>
      </c>
      <c r="L15" s="37" t="s">
        <v>30</v>
      </c>
    </row>
    <row r="16" spans="1:12" ht="14.25">
      <c r="A16" s="27" t="s">
        <v>71</v>
      </c>
      <c r="B16" s="28">
        <f t="shared" si="0"/>
        <v>46128</v>
      </c>
      <c r="C16" s="29" t="str">
        <f>LEFT(Table1[[#This Row],[Product_ID]],6)</f>
        <v>16-APR</v>
      </c>
      <c r="D16" s="27" t="str">
        <f>RIGHT(Table1[[#This Row],[Product_ID]],2)</f>
        <v>ES</v>
      </c>
      <c r="E16" s="30" t="s">
        <v>72</v>
      </c>
      <c r="F16" s="30" t="str">
        <f>PROPER(Table1[[#This Row],[OLD_Product Name]])</f>
        <v>Headphones</v>
      </c>
      <c r="G16" s="30" t="s">
        <v>73</v>
      </c>
      <c r="H16" s="41" t="str">
        <f>CONCATENATE(Table1[[#This Row],[Brand_Name]]," ",Table1[[#This Row],[Product_Name]])</f>
        <v>Bose Headphones</v>
      </c>
      <c r="I16" s="32">
        <v>250</v>
      </c>
      <c r="J16" s="33">
        <f>IF(I16="",AVERAGEIF(Table1[Category],Table1[[#This Row],[Category]],Table1[Old_Price column]),I16)</f>
        <v>250</v>
      </c>
      <c r="K16" s="32">
        <v>20</v>
      </c>
      <c r="L16" s="30" t="s">
        <v>30</v>
      </c>
    </row>
    <row r="17" spans="1:12" ht="14.25">
      <c r="A17" s="34" t="s">
        <v>74</v>
      </c>
      <c r="B17" s="35">
        <f t="shared" si="0"/>
        <v>46255</v>
      </c>
      <c r="C17" s="36" t="str">
        <f>LEFT(Table1[[#This Row],[Product_ID]],6)</f>
        <v>21-AUG</v>
      </c>
      <c r="D17" s="34" t="str">
        <f>RIGHT(Table1[[#This Row],[Product_ID]],2)</f>
        <v>CA</v>
      </c>
      <c r="E17" s="37" t="s">
        <v>75</v>
      </c>
      <c r="F17" s="37" t="str">
        <f>PROPER(Table1[[#This Row],[OLD_Product Name]])</f>
        <v>Laptop Bag</v>
      </c>
      <c r="G17" s="37" t="s">
        <v>76</v>
      </c>
      <c r="H17" s="38" t="str">
        <f>CONCATENATE(Table1[[#This Row],[Brand_Name]]," ",Table1[[#This Row],[Product_Name]])</f>
        <v>Samsonite Laptop Bag</v>
      </c>
      <c r="I17" s="39">
        <v>50</v>
      </c>
      <c r="J17" s="40">
        <f>IF(I17="",AVERAGEIF(Table1[Category],Table1[[#This Row],[Category]],Table1[Old_Price column]),I17)</f>
        <v>50</v>
      </c>
      <c r="K17" s="39">
        <v>35</v>
      </c>
      <c r="L17" s="37" t="s">
        <v>77</v>
      </c>
    </row>
    <row r="18" spans="1:12" ht="14.25">
      <c r="A18" s="27" t="s">
        <v>78</v>
      </c>
      <c r="B18" s="28">
        <f t="shared" si="0"/>
        <v>46254</v>
      </c>
      <c r="C18" s="29" t="str">
        <f>LEFT(Table1[[#This Row],[Product_ID]],6)</f>
        <v>20-AUG</v>
      </c>
      <c r="D18" s="27" t="str">
        <f>RIGHT(Table1[[#This Row],[Product_ID]],2)</f>
        <v>CN</v>
      </c>
      <c r="E18" s="30" t="s">
        <v>69</v>
      </c>
      <c r="F18" s="30" t="str">
        <f>PROPER(Table1[[#This Row],[OLD_Product Name]])</f>
        <v>Smartwatch</v>
      </c>
      <c r="G18" s="30" t="s">
        <v>79</v>
      </c>
      <c r="H18" s="41" t="str">
        <f>CONCATENATE(Table1[[#This Row],[Brand_Name]]," ",Table1[[#This Row],[Product_Name]])</f>
        <v>Huawei Smartwatch</v>
      </c>
      <c r="I18" s="32">
        <v>160</v>
      </c>
      <c r="J18" s="33">
        <f>IF(I18="",AVERAGEIF(Table1[Category],Table1[[#This Row],[Category]],Table1[Old_Price column]),I18)</f>
        <v>160</v>
      </c>
      <c r="K18" s="32">
        <v>15</v>
      </c>
      <c r="L18" s="30" t="s">
        <v>30</v>
      </c>
    </row>
    <row r="19" spans="1:12" ht="14.25">
      <c r="A19" s="34" t="s">
        <v>80</v>
      </c>
      <c r="B19" s="35">
        <f t="shared" si="0"/>
        <v>46049</v>
      </c>
      <c r="C19" s="36" t="str">
        <f>LEFT(Table1[[#This Row],[Product_ID]],6)</f>
        <v>27-JAN</v>
      </c>
      <c r="D19" s="34" t="str">
        <f>RIGHT(Table1[[#This Row],[Product_ID]],2)</f>
        <v>IT</v>
      </c>
      <c r="E19" s="37" t="s">
        <v>28</v>
      </c>
      <c r="F19" s="37" t="str">
        <f>PROPER(Table1[[#This Row],[OLD_Product Name]])</f>
        <v>Laptop</v>
      </c>
      <c r="G19" s="37" t="s">
        <v>81</v>
      </c>
      <c r="H19" s="38" t="str">
        <f>CONCATENATE(Table1[[#This Row],[Brand_Name]]," ",Table1[[#This Row],[Product_Name]])</f>
        <v>Asus Laptop</v>
      </c>
      <c r="I19" s="39">
        <v>980</v>
      </c>
      <c r="J19" s="40">
        <f>IF(I19="",AVERAGEIF(Table1[Category],Table1[[#This Row],[Category]],Table1[Old_Price column]),I19)</f>
        <v>980</v>
      </c>
      <c r="K19" s="39">
        <v>10</v>
      </c>
      <c r="L19" s="37" t="s">
        <v>30</v>
      </c>
    </row>
    <row r="20" spans="1:12" ht="14.25">
      <c r="A20" s="27" t="s">
        <v>82</v>
      </c>
      <c r="B20" s="28">
        <f t="shared" si="0"/>
        <v>46082</v>
      </c>
      <c r="C20" s="29" t="str">
        <f>LEFT(Table1[[#This Row],[Product_ID]],6)</f>
        <v>01-MAR</v>
      </c>
      <c r="D20" s="27" t="str">
        <f>RIGHT(Table1[[#This Row],[Product_ID]],2)</f>
        <v>UK</v>
      </c>
      <c r="E20" s="30" t="s">
        <v>83</v>
      </c>
      <c r="F20" s="30" t="str">
        <f>PROPER(Table1[[#This Row],[OLD_Product Name]])</f>
        <v>Sunglasses</v>
      </c>
      <c r="G20" s="30" t="s">
        <v>84</v>
      </c>
      <c r="H20" s="41" t="str">
        <f>CONCATENATE(Table1[[#This Row],[Brand_Name]]," ",Table1[[#This Row],[Product_Name]])</f>
        <v>Oakley Sunglasses</v>
      </c>
      <c r="I20" s="32">
        <v>150</v>
      </c>
      <c r="J20" s="33">
        <f>IF(I20="",AVERAGEIF(Table1[Category],Table1[[#This Row],[Category]],Table1[Old_Price column]),I20)</f>
        <v>150</v>
      </c>
      <c r="K20" s="32">
        <v>15</v>
      </c>
      <c r="L20" s="30" t="s">
        <v>34</v>
      </c>
    </row>
    <row r="21" spans="1:12" ht="14.25">
      <c r="A21" s="34" t="s">
        <v>85</v>
      </c>
      <c r="B21" s="35">
        <f t="shared" si="0"/>
        <v>46248</v>
      </c>
      <c r="C21" s="36" t="str">
        <f>LEFT(Table1[[#This Row],[Product_ID]],6)</f>
        <v>14-AUG</v>
      </c>
      <c r="D21" s="34" t="str">
        <f>RIGHT(Table1[[#This Row],[Product_ID]],2)</f>
        <v>US</v>
      </c>
      <c r="E21" s="37" t="s">
        <v>86</v>
      </c>
      <c r="F21" s="37" t="str">
        <f>PROPER(Table1[[#This Row],[OLD_Product Name]])</f>
        <v>Camping Tent</v>
      </c>
      <c r="G21" s="37" t="s">
        <v>87</v>
      </c>
      <c r="H21" s="38" t="str">
        <f>CONCATENATE(Table1[[#This Row],[Brand_Name]]," ",Table1[[#This Row],[Product_Name]])</f>
        <v>Coleman Camping Tent</v>
      </c>
      <c r="I21" s="39"/>
      <c r="J21" s="40">
        <f>IF(I21="",AVERAGEIF(Table1[Category],Table1[[#This Row],[Category]],Table1[Old_Price column]),I21)</f>
        <v>130</v>
      </c>
      <c r="K21" s="39">
        <v>10</v>
      </c>
      <c r="L21" s="37" t="s">
        <v>61</v>
      </c>
    </row>
    <row r="22" spans="1:12" ht="14.25">
      <c r="A22" s="27" t="s">
        <v>88</v>
      </c>
      <c r="B22" s="28">
        <f t="shared" si="0"/>
        <v>46156</v>
      </c>
      <c r="C22" s="29" t="str">
        <f>LEFT(Table1[[#This Row],[Product_ID]],6)</f>
        <v>14-MAY</v>
      </c>
      <c r="D22" s="27" t="str">
        <f>RIGHT(Table1[[#This Row],[Product_ID]],2)</f>
        <v>RU</v>
      </c>
      <c r="E22" s="30" t="s">
        <v>89</v>
      </c>
      <c r="F22" s="30" t="str">
        <f>PROPER(Table1[[#This Row],[OLD_Product Name]])</f>
        <v>Camera</v>
      </c>
      <c r="G22" s="30" t="s">
        <v>90</v>
      </c>
      <c r="H22" s="41" t="str">
        <f>CONCATENATE(Table1[[#This Row],[Brand_Name]]," ",Table1[[#This Row],[Product_Name]])</f>
        <v>Nikon Camera</v>
      </c>
      <c r="I22" s="32">
        <v>700</v>
      </c>
      <c r="J22" s="33">
        <f>IF(I22="",AVERAGEIF(Table1[Category],Table1[[#This Row],[Category]],Table1[Old_Price column]),I22)</f>
        <v>700</v>
      </c>
      <c r="K22" s="32">
        <v>50</v>
      </c>
      <c r="L22" s="30" t="s">
        <v>30</v>
      </c>
    </row>
    <row r="23" spans="1:12" ht="14.25">
      <c r="A23" s="34" t="s">
        <v>91</v>
      </c>
      <c r="B23" s="35">
        <f t="shared" si="0"/>
        <v>46031</v>
      </c>
      <c r="C23" s="36" t="str">
        <f>LEFT(Table1[[#This Row],[Product_ID]],6)</f>
        <v>09-JAN</v>
      </c>
      <c r="D23" s="34" t="str">
        <f>RIGHT(Table1[[#This Row],[Product_ID]],2)</f>
        <v>CA</v>
      </c>
      <c r="E23" s="37" t="s">
        <v>92</v>
      </c>
      <c r="F23" s="37" t="str">
        <f>PROPER(Table1[[#This Row],[OLD_Product Name]])</f>
        <v>Microwave</v>
      </c>
      <c r="G23" s="37" t="s">
        <v>93</v>
      </c>
      <c r="H23" s="38" t="str">
        <f>CONCATENATE(Table1[[#This Row],[Brand_Name]]," ",Table1[[#This Row],[Product_Name]])</f>
        <v>Panasonic Microwave</v>
      </c>
      <c r="I23" s="39">
        <v>80</v>
      </c>
      <c r="J23" s="40">
        <f>IF(I23="",AVERAGEIF(Table1[Category],Table1[[#This Row],[Category]],Table1[Old_Price column]),I23)</f>
        <v>80</v>
      </c>
      <c r="K23" s="39">
        <v>20</v>
      </c>
      <c r="L23" s="37" t="s">
        <v>38</v>
      </c>
    </row>
    <row r="24" spans="1:12" ht="14.25">
      <c r="A24" s="27" t="s">
        <v>94</v>
      </c>
      <c r="B24" s="28">
        <f t="shared" si="0"/>
        <v>46222</v>
      </c>
      <c r="C24" s="29" t="str">
        <f>LEFT(Table1[[#This Row],[Product_ID]],6)</f>
        <v>19-JUL</v>
      </c>
      <c r="D24" s="27" t="str">
        <f>RIGHT(Table1[[#This Row],[Product_ID]],2)</f>
        <v>BR</v>
      </c>
      <c r="E24" s="30" t="s">
        <v>95</v>
      </c>
      <c r="F24" s="30" t="str">
        <f>PROPER(Table1[[#This Row],[OLD_Product Name]])</f>
        <v>Fitness Tracker</v>
      </c>
      <c r="G24" s="30" t="s">
        <v>96</v>
      </c>
      <c r="H24" s="41" t="str">
        <f>CONCATENATE(Table1[[#This Row],[Brand_Name]]," ",Table1[[#This Row],[Product_Name]])</f>
        <v>Xiaomi Fitness Tracker</v>
      </c>
      <c r="I24" s="32">
        <v>150</v>
      </c>
      <c r="J24" s="33">
        <f>IF(I24="",AVERAGEIF(Table1[Category],Table1[[#This Row],[Category]],Table1[Old_Price column]),I24)</f>
        <v>150</v>
      </c>
      <c r="K24" s="32">
        <v>30</v>
      </c>
      <c r="L24" s="30" t="s">
        <v>30</v>
      </c>
    </row>
    <row r="25" spans="1:12" ht="14.25">
      <c r="A25" s="27" t="s">
        <v>97</v>
      </c>
      <c r="B25" s="28">
        <f t="shared" si="0"/>
        <v>46294</v>
      </c>
      <c r="C25" s="29" t="str">
        <f>LEFT(Table1[[#This Row],[Product_ID]],6)</f>
        <v>29-SEP</v>
      </c>
      <c r="D25" s="27" t="str">
        <f>RIGHT(Table1[[#This Row],[Product_ID]],2)</f>
        <v>CA</v>
      </c>
      <c r="E25" s="30" t="s">
        <v>98</v>
      </c>
      <c r="F25" s="30" t="str">
        <f>PROPER(Table1[[#This Row],[OLD_Product Name]])</f>
        <v>Smartphone</v>
      </c>
      <c r="G25" s="30" t="s">
        <v>99</v>
      </c>
      <c r="H25" s="41" t="str">
        <f>CONCATENATE(Table1[[#This Row],[Brand_Name]]," ",Table1[[#This Row],[Product_Name]])</f>
        <v>Google Smartphone</v>
      </c>
      <c r="I25" s="32">
        <v>800</v>
      </c>
      <c r="J25" s="33">
        <f>IF(I25="",AVERAGEIF(Table1[Category],Table1[[#This Row],[Category]],Table1[Old_Price column]),I25)</f>
        <v>800</v>
      </c>
      <c r="K25" s="32">
        <v>45</v>
      </c>
      <c r="L25" s="30" t="s">
        <v>30</v>
      </c>
    </row>
    <row r="26" spans="1:12" ht="14.25">
      <c r="A26" s="34" t="s">
        <v>100</v>
      </c>
      <c r="B26" s="35">
        <f t="shared" si="0"/>
        <v>46176</v>
      </c>
      <c r="C26" s="36" t="str">
        <f>LEFT(Table1[[#This Row],[Product_ID]],6)</f>
        <v>03-JUN</v>
      </c>
      <c r="D26" s="34" t="str">
        <f>RIGHT(Table1[[#This Row],[Product_ID]],2)</f>
        <v>CA</v>
      </c>
      <c r="E26" s="37" t="s">
        <v>83</v>
      </c>
      <c r="F26" s="37" t="str">
        <f>PROPER(Table1[[#This Row],[OLD_Product Name]])</f>
        <v>Sunglasses</v>
      </c>
      <c r="G26" s="37" t="s">
        <v>101</v>
      </c>
      <c r="H26" s="38" t="str">
        <f>CONCATENATE(Table1[[#This Row],[Brand_Name]]," ",Table1[[#This Row],[Product_Name]])</f>
        <v>Ray-Ban Sunglasses</v>
      </c>
      <c r="I26" s="39"/>
      <c r="J26" s="40">
        <f>IF(I26="",AVERAGEIF(Table1[Category],Table1[[#This Row],[Category]],Table1[Old_Price column]),I26)</f>
        <v>76.666666666666671</v>
      </c>
      <c r="K26" s="39">
        <v>25</v>
      </c>
      <c r="L26" s="37" t="s">
        <v>34</v>
      </c>
    </row>
    <row r="27" spans="1:12" ht="14.25">
      <c r="A27" s="27" t="s">
        <v>102</v>
      </c>
      <c r="B27" s="28">
        <f t="shared" si="0"/>
        <v>46214</v>
      </c>
      <c r="C27" s="29" t="str">
        <f>LEFT(Table1[[#This Row],[Product_ID]],6)</f>
        <v>11-JUL</v>
      </c>
      <c r="D27" s="27" t="str">
        <f>RIGHT(Table1[[#This Row],[Product_ID]],2)</f>
        <v>CA</v>
      </c>
      <c r="E27" s="30" t="s">
        <v>53</v>
      </c>
      <c r="F27" s="30" t="str">
        <f>PROPER(Table1[[#This Row],[OLD_Product Name]])</f>
        <v>Blender</v>
      </c>
      <c r="G27" s="30" t="s">
        <v>103</v>
      </c>
      <c r="H27" s="41" t="str">
        <f>CONCATENATE(Table1[[#This Row],[Brand_Name]]," ",Table1[[#This Row],[Product_Name]])</f>
        <v>Vitamix Blender</v>
      </c>
      <c r="I27" s="32">
        <v>400</v>
      </c>
      <c r="J27" s="33">
        <f>IF(I27="",AVERAGEIF(Table1[Category],Table1[[#This Row],[Category]],Table1[Old_Price column]),I27)</f>
        <v>400</v>
      </c>
      <c r="K27" s="32">
        <v>40</v>
      </c>
      <c r="L27" s="30" t="s">
        <v>38</v>
      </c>
    </row>
    <row r="28" spans="1:12" ht="14.25">
      <c r="A28" s="27" t="s">
        <v>104</v>
      </c>
      <c r="B28" s="28">
        <f t="shared" si="0"/>
        <v>46088</v>
      </c>
      <c r="C28" s="29" t="str">
        <f>LEFT(Table1[[#This Row],[Product_ID]],6)</f>
        <v>07-MAR</v>
      </c>
      <c r="D28" s="27" t="str">
        <f>RIGHT(Table1[[#This Row],[Product_ID]],2)</f>
        <v>CA</v>
      </c>
      <c r="E28" s="30" t="s">
        <v>105</v>
      </c>
      <c r="F28" s="30" t="str">
        <f>PROPER(Table1[[#This Row],[OLD_Product Name]])</f>
        <v>Dress</v>
      </c>
      <c r="G28" s="30" t="s">
        <v>106</v>
      </c>
      <c r="H28" s="41" t="str">
        <f>CONCATENATE(Table1[[#This Row],[Brand_Name]]," ",Table1[[#This Row],[Product_Name]])</f>
        <v>Zara Dress</v>
      </c>
      <c r="I28" s="32">
        <v>60</v>
      </c>
      <c r="J28" s="33">
        <f>IF(I28="",AVERAGEIF(Table1[Category],Table1[[#This Row],[Category]],Table1[Old_Price column]),I28)</f>
        <v>60</v>
      </c>
      <c r="K28" s="32">
        <v>30</v>
      </c>
      <c r="L28" s="30" t="s">
        <v>34</v>
      </c>
    </row>
    <row r="29" spans="1:12" ht="14.25">
      <c r="A29" s="34" t="s">
        <v>107</v>
      </c>
      <c r="B29" s="35">
        <f t="shared" si="0"/>
        <v>46125</v>
      </c>
      <c r="C29" s="36" t="str">
        <f>LEFT(Table1[[#This Row],[Product_ID]],6)</f>
        <v>13-APR</v>
      </c>
      <c r="D29" s="34" t="str">
        <f>RIGHT(Table1[[#This Row],[Product_ID]],2)</f>
        <v>CA</v>
      </c>
      <c r="E29" s="37" t="s">
        <v>108</v>
      </c>
      <c r="F29" s="37" t="str">
        <f>PROPER(Table1[[#This Row],[OLD_Product Name]])</f>
        <v>Toaster</v>
      </c>
      <c r="G29" s="37" t="s">
        <v>109</v>
      </c>
      <c r="H29" s="38" t="str">
        <f>CONCATENATE(Table1[[#This Row],[Brand_Name]]," ",Table1[[#This Row],[Product_Name]])</f>
        <v>Hamilton Toaster</v>
      </c>
      <c r="I29" s="39">
        <v>40</v>
      </c>
      <c r="J29" s="40">
        <f>IF(I29="",AVERAGEIF(Table1[Category],Table1[[#This Row],[Category]],Table1[Old_Price column]),I29)</f>
        <v>40</v>
      </c>
      <c r="K29" s="39">
        <v>10</v>
      </c>
      <c r="L29" s="37" t="s">
        <v>38</v>
      </c>
    </row>
    <row r="30" spans="1:12" ht="14.25">
      <c r="A30" s="27" t="s">
        <v>110</v>
      </c>
      <c r="B30" s="28">
        <f t="shared" si="0"/>
        <v>46166</v>
      </c>
      <c r="C30" s="29" t="str">
        <f>LEFT(Table1[[#This Row],[Product_ID]],6)</f>
        <v>24-MAY</v>
      </c>
      <c r="D30" s="27" t="str">
        <f>RIGHT(Table1[[#This Row],[Product_ID]],2)</f>
        <v>CA</v>
      </c>
      <c r="E30" s="30" t="s">
        <v>95</v>
      </c>
      <c r="F30" s="30" t="str">
        <f>PROPER(Table1[[#This Row],[OLD_Product Name]])</f>
        <v>Fitness Tracker</v>
      </c>
      <c r="G30" s="30" t="s">
        <v>111</v>
      </c>
      <c r="H30" s="41" t="str">
        <f>CONCATENATE(Table1[[#This Row],[Brand_Name]]," ",Table1[[#This Row],[Product_Name]])</f>
        <v>Garmin Fitness Tracker</v>
      </c>
      <c r="I30" s="32">
        <v>130</v>
      </c>
      <c r="J30" s="33">
        <f>IF(I30="",AVERAGEIF(Table1[Category],Table1[[#This Row],[Category]],Table1[Old_Price column]),I30)</f>
        <v>130</v>
      </c>
      <c r="K30" s="32">
        <v>5</v>
      </c>
      <c r="L30" s="30" t="s">
        <v>30</v>
      </c>
    </row>
    <row r="31" spans="1:12" ht="14.25">
      <c r="A31" s="34" t="s">
        <v>112</v>
      </c>
      <c r="B31" s="35">
        <f t="shared" si="0"/>
        <v>46358</v>
      </c>
      <c r="C31" s="36" t="str">
        <f>LEFT(Table1[[#This Row],[Product_ID]],6)</f>
        <v>02-DEC</v>
      </c>
      <c r="D31" s="34" t="str">
        <f>RIGHT(Table1[[#This Row],[Product_ID]],2)</f>
        <v>CA</v>
      </c>
      <c r="E31" s="37" t="s">
        <v>113</v>
      </c>
      <c r="F31" s="37" t="str">
        <f>PROPER(Table1[[#This Row],[OLD_Product Name]])</f>
        <v>Jeans</v>
      </c>
      <c r="G31" s="37" t="s">
        <v>114</v>
      </c>
      <c r="H31" s="38" t="str">
        <f>CONCATENATE(Table1[[#This Row],[Brand_Name]]," ",Table1[[#This Row],[Product_Name]])</f>
        <v>Levi's Jeans</v>
      </c>
      <c r="I31" s="39">
        <v>50</v>
      </c>
      <c r="J31" s="40">
        <f>IF(I31="",AVERAGEIF(Table1[Category],Table1[[#This Row],[Category]],Table1[Old_Price column]),I31)</f>
        <v>50</v>
      </c>
      <c r="K31" s="39">
        <v>50</v>
      </c>
      <c r="L31" s="37" t="s">
        <v>34</v>
      </c>
    </row>
    <row r="32" spans="1:12" ht="14.25">
      <c r="A32" s="34" t="s">
        <v>115</v>
      </c>
      <c r="B32" s="35">
        <f t="shared" si="0"/>
        <v>46212</v>
      </c>
      <c r="C32" s="36" t="str">
        <f>LEFT(Table1[[#This Row],[Product_ID]],6)</f>
        <v>09-JUL</v>
      </c>
      <c r="D32" s="34" t="str">
        <f>RIGHT(Table1[[#This Row],[Product_ID]],2)</f>
        <v>FR</v>
      </c>
      <c r="E32" s="37" t="s">
        <v>116</v>
      </c>
      <c r="F32" s="37" t="str">
        <f>PROPER(Table1[[#This Row],[OLD_Product Name]])</f>
        <v>Watch</v>
      </c>
      <c r="G32" s="37" t="s">
        <v>117</v>
      </c>
      <c r="H32" s="38" t="str">
        <f>CONCATENATE(Table1[[#This Row],[Brand_Name]]," ",Table1[[#This Row],[Product_Name]])</f>
        <v>Casio Watch</v>
      </c>
      <c r="I32" s="39">
        <v>100</v>
      </c>
      <c r="J32" s="40">
        <f>IF(I32="",AVERAGEIF(Table1[Category],Table1[[#This Row],[Category]],Table1[Old_Price column]),I32)</f>
        <v>100</v>
      </c>
      <c r="K32" s="39">
        <v>20</v>
      </c>
      <c r="L32" s="37" t="s">
        <v>77</v>
      </c>
    </row>
  </sheetData>
  <phoneticPr fontId="8" type="noConversion"/>
  <conditionalFormatting sqref="J2">
    <cfRule type="dataBar" priority="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{91CF20DE-024E-450F-9277-2B71E75CE67E}</x14:id>
        </ext>
      </extLst>
    </cfRule>
  </conditionalFormatting>
  <conditionalFormatting sqref="J1:J1048576">
    <cfRule type="dataBar" priority="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{5DEF69FE-2DDA-423E-B622-3EFD739674E2}</x14:id>
        </ext>
      </extLst>
    </cfRule>
  </conditionalFormatting>
  <conditionalFormatting sqref="L1:L1048576">
    <cfRule type="containsText" dxfId="28" priority="1" operator="containsText" text="Electronics">
      <formula>NOT(ISERROR(SEARCH("Electronics",L1)))</formula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91CF20DE-024E-450F-9277-2B71E75CE67E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J2</xm:sqref>
        </x14:conditionalFormatting>
        <x14:conditionalFormatting xmlns:xm="http://schemas.microsoft.com/office/excel/2006/main">
          <x14:cfRule type="dataBar" id="{5DEF69FE-2DDA-423E-B622-3EFD739674E2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J1:J1048576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4653E1-F313-4DD7-9E44-B8A61323CAD6}">
  <dimension ref="A1:I32"/>
  <sheetViews>
    <sheetView tabSelected="1" workbookViewId="0">
      <selection activeCell="D1" sqref="D1"/>
    </sheetView>
  </sheetViews>
  <sheetFormatPr defaultRowHeight="12.75"/>
  <cols>
    <col min="1" max="1" width="23.7109375" bestFit="1" customWidth="1"/>
    <col min="2" max="2" width="22.140625" customWidth="1"/>
    <col min="3" max="3" width="28" bestFit="1" customWidth="1"/>
    <col min="4" max="4" width="24.140625" customWidth="1"/>
    <col min="5" max="5" width="27.7109375" customWidth="1"/>
    <col min="6" max="6" width="38.85546875" customWidth="1"/>
    <col min="7" max="7" width="40.28515625" customWidth="1"/>
    <col min="8" max="8" width="15.42578125" customWidth="1"/>
    <col min="9" max="9" width="25.28515625" customWidth="1"/>
  </cols>
  <sheetData>
    <row r="1" spans="1:9" ht="30" customHeight="1">
      <c r="A1" s="46" t="s">
        <v>120</v>
      </c>
      <c r="B1" s="47" t="s">
        <v>121</v>
      </c>
      <c r="C1" s="48" t="s">
        <v>119</v>
      </c>
      <c r="D1" s="49" t="s">
        <v>123</v>
      </c>
      <c r="E1" s="49" t="s">
        <v>124</v>
      </c>
      <c r="F1" s="50" t="s">
        <v>125</v>
      </c>
      <c r="G1" s="51" t="s">
        <v>127</v>
      </c>
      <c r="H1" s="52" t="s">
        <v>25</v>
      </c>
      <c r="I1" s="53" t="s">
        <v>26</v>
      </c>
    </row>
    <row r="2" spans="1:9" ht="17.25" customHeight="1">
      <c r="A2" s="42" t="s">
        <v>128</v>
      </c>
      <c r="B2" s="29" t="s">
        <v>129</v>
      </c>
      <c r="C2" s="28">
        <v>46050</v>
      </c>
      <c r="D2" s="30" t="s">
        <v>63</v>
      </c>
      <c r="E2" s="30" t="s">
        <v>29</v>
      </c>
      <c r="F2" s="31" t="s">
        <v>130</v>
      </c>
      <c r="G2" s="33">
        <v>1000</v>
      </c>
      <c r="H2" s="32">
        <v>30</v>
      </c>
      <c r="I2" s="44" t="s">
        <v>30</v>
      </c>
    </row>
    <row r="3" spans="1:9" ht="14.25">
      <c r="A3" s="43" t="s">
        <v>131</v>
      </c>
      <c r="B3" s="36" t="s">
        <v>129</v>
      </c>
      <c r="C3" s="35">
        <v>46068</v>
      </c>
      <c r="D3" s="37" t="s">
        <v>32</v>
      </c>
      <c r="E3" s="37" t="s">
        <v>33</v>
      </c>
      <c r="F3" s="38" t="s">
        <v>132</v>
      </c>
      <c r="G3" s="40">
        <v>80</v>
      </c>
      <c r="H3" s="39">
        <v>15</v>
      </c>
      <c r="I3" s="45" t="s">
        <v>34</v>
      </c>
    </row>
    <row r="4" spans="1:9" ht="14.25">
      <c r="A4" s="42" t="s">
        <v>133</v>
      </c>
      <c r="B4" s="29" t="s">
        <v>129</v>
      </c>
      <c r="C4" s="28">
        <v>46084</v>
      </c>
      <c r="D4" s="30" t="s">
        <v>36</v>
      </c>
      <c r="E4" s="30" t="s">
        <v>37</v>
      </c>
      <c r="F4" s="41" t="s">
        <v>134</v>
      </c>
      <c r="G4" s="33">
        <v>130</v>
      </c>
      <c r="H4" s="32">
        <v>40</v>
      </c>
      <c r="I4" s="44" t="s">
        <v>38</v>
      </c>
    </row>
    <row r="5" spans="1:9" ht="14.25">
      <c r="A5" s="43" t="s">
        <v>135</v>
      </c>
      <c r="B5" s="36" t="s">
        <v>129</v>
      </c>
      <c r="C5" s="35">
        <v>46123</v>
      </c>
      <c r="D5" s="37" t="s">
        <v>98</v>
      </c>
      <c r="E5" s="37" t="s">
        <v>41</v>
      </c>
      <c r="F5" s="38" t="s">
        <v>136</v>
      </c>
      <c r="G5" s="40">
        <v>900</v>
      </c>
      <c r="H5" s="39">
        <v>25</v>
      </c>
      <c r="I5" s="45" t="s">
        <v>30</v>
      </c>
    </row>
    <row r="6" spans="1:9" ht="14.25">
      <c r="A6" s="42" t="s">
        <v>137</v>
      </c>
      <c r="B6" s="29" t="s">
        <v>129</v>
      </c>
      <c r="C6" s="28">
        <v>46164</v>
      </c>
      <c r="D6" s="30" t="s">
        <v>43</v>
      </c>
      <c r="E6" s="30" t="s">
        <v>44</v>
      </c>
      <c r="F6" s="41" t="s">
        <v>138</v>
      </c>
      <c r="G6" s="33">
        <v>70</v>
      </c>
      <c r="H6" s="32">
        <v>20</v>
      </c>
      <c r="I6" s="44" t="s">
        <v>77</v>
      </c>
    </row>
    <row r="7" spans="1:9" ht="14.25">
      <c r="A7" s="43" t="s">
        <v>139</v>
      </c>
      <c r="B7" s="36" t="s">
        <v>140</v>
      </c>
      <c r="C7" s="35">
        <v>46180</v>
      </c>
      <c r="D7" s="37" t="s">
        <v>46</v>
      </c>
      <c r="E7" s="37" t="s">
        <v>47</v>
      </c>
      <c r="F7" s="38" t="s">
        <v>141</v>
      </c>
      <c r="G7" s="40">
        <v>555.83333333333337</v>
      </c>
      <c r="H7" s="39">
        <v>45</v>
      </c>
      <c r="I7" s="45" t="s">
        <v>30</v>
      </c>
    </row>
    <row r="8" spans="1:9" ht="14.25">
      <c r="A8" s="42" t="s">
        <v>142</v>
      </c>
      <c r="B8" s="29" t="s">
        <v>140</v>
      </c>
      <c r="C8" s="28">
        <v>46222</v>
      </c>
      <c r="D8" s="30" t="s">
        <v>143</v>
      </c>
      <c r="E8" s="30" t="s">
        <v>51</v>
      </c>
      <c r="F8" s="41" t="s">
        <v>144</v>
      </c>
      <c r="G8" s="33">
        <v>30</v>
      </c>
      <c r="H8" s="32">
        <v>5</v>
      </c>
      <c r="I8" s="44" t="s">
        <v>34</v>
      </c>
    </row>
    <row r="9" spans="1:9" ht="14.25">
      <c r="A9" s="43" t="s">
        <v>145</v>
      </c>
      <c r="B9" s="36" t="s">
        <v>140</v>
      </c>
      <c r="C9" s="35">
        <v>46257</v>
      </c>
      <c r="D9" s="37" t="s">
        <v>53</v>
      </c>
      <c r="E9" s="37" t="s">
        <v>54</v>
      </c>
      <c r="F9" s="38" t="s">
        <v>146</v>
      </c>
      <c r="G9" s="40">
        <v>90</v>
      </c>
      <c r="H9" s="39">
        <v>35</v>
      </c>
      <c r="I9" s="45" t="s">
        <v>38</v>
      </c>
    </row>
    <row r="10" spans="1:9" ht="14.25">
      <c r="A10" s="42" t="s">
        <v>147</v>
      </c>
      <c r="B10" s="29" t="s">
        <v>140</v>
      </c>
      <c r="C10" s="28">
        <v>46270</v>
      </c>
      <c r="D10" s="30" t="s">
        <v>56</v>
      </c>
      <c r="E10" s="30" t="s">
        <v>57</v>
      </c>
      <c r="F10" s="41" t="s">
        <v>148</v>
      </c>
      <c r="G10" s="33">
        <v>500</v>
      </c>
      <c r="H10" s="32">
        <v>50</v>
      </c>
      <c r="I10" s="44" t="s">
        <v>30</v>
      </c>
    </row>
    <row r="11" spans="1:9" ht="14.25">
      <c r="A11" s="43" t="s">
        <v>149</v>
      </c>
      <c r="B11" s="36" t="s">
        <v>140</v>
      </c>
      <c r="C11" s="35">
        <v>46309</v>
      </c>
      <c r="D11" s="37" t="s">
        <v>59</v>
      </c>
      <c r="E11" s="37" t="s">
        <v>60</v>
      </c>
      <c r="F11" s="38" t="s">
        <v>150</v>
      </c>
      <c r="G11" s="40">
        <v>130</v>
      </c>
      <c r="H11" s="39">
        <v>10</v>
      </c>
      <c r="I11" s="45" t="s">
        <v>61</v>
      </c>
    </row>
    <row r="12" spans="1:9" ht="14.25">
      <c r="A12" s="42" t="s">
        <v>151</v>
      </c>
      <c r="B12" s="29" t="s">
        <v>152</v>
      </c>
      <c r="C12" s="28">
        <v>46190</v>
      </c>
      <c r="D12" s="30" t="s">
        <v>63</v>
      </c>
      <c r="E12" s="30" t="s">
        <v>64</v>
      </c>
      <c r="F12" s="41" t="s">
        <v>153</v>
      </c>
      <c r="G12" s="33">
        <v>950</v>
      </c>
      <c r="H12" s="32">
        <v>25</v>
      </c>
      <c r="I12" s="44" t="s">
        <v>30</v>
      </c>
    </row>
    <row r="13" spans="1:9" ht="14.25">
      <c r="A13" s="43" t="s">
        <v>154</v>
      </c>
      <c r="B13" s="36" t="s">
        <v>155</v>
      </c>
      <c r="C13" s="35">
        <v>46351</v>
      </c>
      <c r="D13" s="37" t="s">
        <v>32</v>
      </c>
      <c r="E13" s="37" t="s">
        <v>51</v>
      </c>
      <c r="F13" s="38" t="s">
        <v>156</v>
      </c>
      <c r="G13" s="40">
        <v>90</v>
      </c>
      <c r="H13" s="39">
        <v>40</v>
      </c>
      <c r="I13" s="45" t="s">
        <v>34</v>
      </c>
    </row>
    <row r="14" spans="1:9" ht="14.25">
      <c r="A14" s="42" t="s">
        <v>157</v>
      </c>
      <c r="B14" s="29" t="s">
        <v>158</v>
      </c>
      <c r="C14" s="28">
        <v>46364</v>
      </c>
      <c r="D14" s="30" t="s">
        <v>36</v>
      </c>
      <c r="E14" s="30" t="s">
        <v>67</v>
      </c>
      <c r="F14" s="41" t="s">
        <v>159</v>
      </c>
      <c r="G14" s="33">
        <v>120</v>
      </c>
      <c r="H14" s="32">
        <v>35</v>
      </c>
      <c r="I14" s="44" t="s">
        <v>38</v>
      </c>
    </row>
    <row r="15" spans="1:9" ht="14.25">
      <c r="A15" s="43" t="s">
        <v>160</v>
      </c>
      <c r="B15" s="36" t="s">
        <v>161</v>
      </c>
      <c r="C15" s="35">
        <v>46071</v>
      </c>
      <c r="D15" s="37" t="s">
        <v>69</v>
      </c>
      <c r="E15" s="37" t="s">
        <v>70</v>
      </c>
      <c r="F15" s="38" t="s">
        <v>162</v>
      </c>
      <c r="G15" s="40">
        <v>150</v>
      </c>
      <c r="H15" s="39">
        <v>15</v>
      </c>
      <c r="I15" s="45" t="s">
        <v>30</v>
      </c>
    </row>
    <row r="16" spans="1:9" ht="14.25">
      <c r="A16" s="42" t="s">
        <v>163</v>
      </c>
      <c r="B16" s="29" t="s">
        <v>164</v>
      </c>
      <c r="C16" s="28">
        <v>46128</v>
      </c>
      <c r="D16" s="30" t="s">
        <v>46</v>
      </c>
      <c r="E16" s="30" t="s">
        <v>73</v>
      </c>
      <c r="F16" s="41" t="s">
        <v>165</v>
      </c>
      <c r="G16" s="33">
        <v>250</v>
      </c>
      <c r="H16" s="32">
        <v>20</v>
      </c>
      <c r="I16" s="44" t="s">
        <v>30</v>
      </c>
    </row>
    <row r="17" spans="1:9" ht="14.25">
      <c r="A17" s="43" t="s">
        <v>166</v>
      </c>
      <c r="B17" s="36" t="s">
        <v>161</v>
      </c>
      <c r="C17" s="35">
        <v>46255</v>
      </c>
      <c r="D17" s="37" t="s">
        <v>75</v>
      </c>
      <c r="E17" s="37" t="s">
        <v>76</v>
      </c>
      <c r="F17" s="38" t="s">
        <v>167</v>
      </c>
      <c r="G17" s="40">
        <v>50</v>
      </c>
      <c r="H17" s="39">
        <v>35</v>
      </c>
      <c r="I17" s="45" t="s">
        <v>77</v>
      </c>
    </row>
    <row r="18" spans="1:9" ht="14.25">
      <c r="A18" s="42" t="s">
        <v>168</v>
      </c>
      <c r="B18" s="29" t="s">
        <v>169</v>
      </c>
      <c r="C18" s="28">
        <v>46254</v>
      </c>
      <c r="D18" s="30" t="s">
        <v>69</v>
      </c>
      <c r="E18" s="30" t="s">
        <v>79</v>
      </c>
      <c r="F18" s="41" t="s">
        <v>170</v>
      </c>
      <c r="G18" s="33">
        <v>160</v>
      </c>
      <c r="H18" s="32">
        <v>15</v>
      </c>
      <c r="I18" s="44" t="s">
        <v>30</v>
      </c>
    </row>
    <row r="19" spans="1:9" ht="14.25">
      <c r="A19" s="43" t="s">
        <v>171</v>
      </c>
      <c r="B19" s="36" t="s">
        <v>172</v>
      </c>
      <c r="C19" s="35">
        <v>46049</v>
      </c>
      <c r="D19" s="37" t="s">
        <v>63</v>
      </c>
      <c r="E19" s="37" t="s">
        <v>81</v>
      </c>
      <c r="F19" s="38" t="s">
        <v>173</v>
      </c>
      <c r="G19" s="40">
        <v>980</v>
      </c>
      <c r="H19" s="39">
        <v>10</v>
      </c>
      <c r="I19" s="45" t="s">
        <v>30</v>
      </c>
    </row>
    <row r="20" spans="1:9" ht="14.25">
      <c r="A20" s="42" t="s">
        <v>174</v>
      </c>
      <c r="B20" s="29" t="s">
        <v>140</v>
      </c>
      <c r="C20" s="28">
        <v>46082</v>
      </c>
      <c r="D20" s="30" t="s">
        <v>83</v>
      </c>
      <c r="E20" s="30" t="s">
        <v>84</v>
      </c>
      <c r="F20" s="41" t="s">
        <v>175</v>
      </c>
      <c r="G20" s="33">
        <v>150</v>
      </c>
      <c r="H20" s="32">
        <v>15</v>
      </c>
      <c r="I20" s="44" t="s">
        <v>34</v>
      </c>
    </row>
    <row r="21" spans="1:9" ht="14.25">
      <c r="A21" s="43" t="s">
        <v>176</v>
      </c>
      <c r="B21" s="36" t="s">
        <v>129</v>
      </c>
      <c r="C21" s="35">
        <v>46248</v>
      </c>
      <c r="D21" s="37" t="s">
        <v>86</v>
      </c>
      <c r="E21" s="37" t="s">
        <v>87</v>
      </c>
      <c r="F21" s="38" t="s">
        <v>177</v>
      </c>
      <c r="G21" s="40">
        <v>130</v>
      </c>
      <c r="H21" s="39">
        <v>10</v>
      </c>
      <c r="I21" s="45" t="s">
        <v>61</v>
      </c>
    </row>
    <row r="22" spans="1:9" ht="14.25">
      <c r="A22" s="42" t="s">
        <v>178</v>
      </c>
      <c r="B22" s="29" t="s">
        <v>179</v>
      </c>
      <c r="C22" s="28">
        <v>46156</v>
      </c>
      <c r="D22" s="30" t="s">
        <v>89</v>
      </c>
      <c r="E22" s="30" t="s">
        <v>90</v>
      </c>
      <c r="F22" s="41" t="s">
        <v>180</v>
      </c>
      <c r="G22" s="33">
        <v>700</v>
      </c>
      <c r="H22" s="32">
        <v>50</v>
      </c>
      <c r="I22" s="44" t="s">
        <v>30</v>
      </c>
    </row>
    <row r="23" spans="1:9" ht="14.25">
      <c r="A23" s="43" t="s">
        <v>181</v>
      </c>
      <c r="B23" s="36" t="s">
        <v>161</v>
      </c>
      <c r="C23" s="35">
        <v>46031</v>
      </c>
      <c r="D23" s="37" t="s">
        <v>92</v>
      </c>
      <c r="E23" s="37" t="s">
        <v>93</v>
      </c>
      <c r="F23" s="38" t="s">
        <v>182</v>
      </c>
      <c r="G23" s="40">
        <v>80</v>
      </c>
      <c r="H23" s="39">
        <v>20</v>
      </c>
      <c r="I23" s="45" t="s">
        <v>38</v>
      </c>
    </row>
    <row r="24" spans="1:9" ht="14.25">
      <c r="A24" s="42" t="s">
        <v>142</v>
      </c>
      <c r="B24" s="29" t="s">
        <v>183</v>
      </c>
      <c r="C24" s="28">
        <v>46222</v>
      </c>
      <c r="D24" s="30" t="s">
        <v>95</v>
      </c>
      <c r="E24" s="30" t="s">
        <v>96</v>
      </c>
      <c r="F24" s="41" t="s">
        <v>184</v>
      </c>
      <c r="G24" s="33">
        <v>150</v>
      </c>
      <c r="H24" s="32">
        <v>30</v>
      </c>
      <c r="I24" s="44" t="s">
        <v>30</v>
      </c>
    </row>
    <row r="25" spans="1:9" ht="14.25">
      <c r="A25" s="42" t="s">
        <v>185</v>
      </c>
      <c r="B25" s="29" t="s">
        <v>161</v>
      </c>
      <c r="C25" s="28">
        <v>46294</v>
      </c>
      <c r="D25" s="30" t="s">
        <v>98</v>
      </c>
      <c r="E25" s="30" t="s">
        <v>99</v>
      </c>
      <c r="F25" s="41" t="s">
        <v>186</v>
      </c>
      <c r="G25" s="33">
        <v>800</v>
      </c>
      <c r="H25" s="32">
        <v>45</v>
      </c>
      <c r="I25" s="44" t="s">
        <v>30</v>
      </c>
    </row>
    <row r="26" spans="1:9" ht="14.25">
      <c r="A26" s="43" t="s">
        <v>187</v>
      </c>
      <c r="B26" s="36" t="s">
        <v>161</v>
      </c>
      <c r="C26" s="35">
        <v>46176</v>
      </c>
      <c r="D26" s="37" t="s">
        <v>83</v>
      </c>
      <c r="E26" s="37" t="s">
        <v>101</v>
      </c>
      <c r="F26" s="38" t="s">
        <v>188</v>
      </c>
      <c r="G26" s="40">
        <v>76.666666666666671</v>
      </c>
      <c r="H26" s="39">
        <v>25</v>
      </c>
      <c r="I26" s="45" t="s">
        <v>34</v>
      </c>
    </row>
    <row r="27" spans="1:9" ht="14.25">
      <c r="A27" s="42" t="s">
        <v>189</v>
      </c>
      <c r="B27" s="29" t="s">
        <v>161</v>
      </c>
      <c r="C27" s="28">
        <v>46214</v>
      </c>
      <c r="D27" s="30" t="s">
        <v>53</v>
      </c>
      <c r="E27" s="30" t="s">
        <v>103</v>
      </c>
      <c r="F27" s="41" t="s">
        <v>190</v>
      </c>
      <c r="G27" s="33">
        <v>400</v>
      </c>
      <c r="H27" s="32">
        <v>40</v>
      </c>
      <c r="I27" s="44" t="s">
        <v>38</v>
      </c>
    </row>
    <row r="28" spans="1:9" ht="14.25">
      <c r="A28" s="42" t="s">
        <v>191</v>
      </c>
      <c r="B28" s="29" t="s">
        <v>161</v>
      </c>
      <c r="C28" s="28">
        <v>46088</v>
      </c>
      <c r="D28" s="30" t="s">
        <v>105</v>
      </c>
      <c r="E28" s="30" t="s">
        <v>106</v>
      </c>
      <c r="F28" s="41" t="s">
        <v>192</v>
      </c>
      <c r="G28" s="33">
        <v>60</v>
      </c>
      <c r="H28" s="32">
        <v>30</v>
      </c>
      <c r="I28" s="44" t="s">
        <v>34</v>
      </c>
    </row>
    <row r="29" spans="1:9" ht="14.25">
      <c r="A29" s="43" t="s">
        <v>193</v>
      </c>
      <c r="B29" s="36" t="s">
        <v>161</v>
      </c>
      <c r="C29" s="35">
        <v>46125</v>
      </c>
      <c r="D29" s="37" t="s">
        <v>108</v>
      </c>
      <c r="E29" s="37" t="s">
        <v>109</v>
      </c>
      <c r="F29" s="38" t="s">
        <v>194</v>
      </c>
      <c r="G29" s="40">
        <v>40</v>
      </c>
      <c r="H29" s="39">
        <v>10</v>
      </c>
      <c r="I29" s="45" t="s">
        <v>38</v>
      </c>
    </row>
    <row r="30" spans="1:9" ht="14.25">
      <c r="A30" s="42" t="s">
        <v>195</v>
      </c>
      <c r="B30" s="29" t="s">
        <v>161</v>
      </c>
      <c r="C30" s="28">
        <v>46166</v>
      </c>
      <c r="D30" s="30" t="s">
        <v>95</v>
      </c>
      <c r="E30" s="30" t="s">
        <v>111</v>
      </c>
      <c r="F30" s="41" t="s">
        <v>196</v>
      </c>
      <c r="G30" s="33">
        <v>130</v>
      </c>
      <c r="H30" s="32">
        <v>5</v>
      </c>
      <c r="I30" s="44" t="s">
        <v>30</v>
      </c>
    </row>
    <row r="31" spans="1:9" ht="14.25">
      <c r="A31" s="43" t="s">
        <v>197</v>
      </c>
      <c r="B31" s="36" t="s">
        <v>161</v>
      </c>
      <c r="C31" s="35">
        <v>46358</v>
      </c>
      <c r="D31" s="37" t="s">
        <v>113</v>
      </c>
      <c r="E31" s="37" t="s">
        <v>114</v>
      </c>
      <c r="F31" s="38" t="s">
        <v>198</v>
      </c>
      <c r="G31" s="40">
        <v>50</v>
      </c>
      <c r="H31" s="39">
        <v>50</v>
      </c>
      <c r="I31" s="45" t="s">
        <v>34</v>
      </c>
    </row>
    <row r="32" spans="1:9" ht="14.25">
      <c r="A32" s="54" t="s">
        <v>199</v>
      </c>
      <c r="B32" s="55" t="s">
        <v>200</v>
      </c>
      <c r="C32" s="56">
        <v>46212</v>
      </c>
      <c r="D32" s="57" t="s">
        <v>116</v>
      </c>
      <c r="E32" s="57" t="s">
        <v>117</v>
      </c>
      <c r="F32" s="58" t="s">
        <v>201</v>
      </c>
      <c r="G32" s="59">
        <v>100</v>
      </c>
      <c r="H32" s="60">
        <v>20</v>
      </c>
      <c r="I32" s="61" t="s">
        <v>77</v>
      </c>
    </row>
  </sheetData>
  <conditionalFormatting sqref="I1:I32">
    <cfRule type="containsText" dxfId="13" priority="2" operator="containsText" text="Electronics">
      <formula>NOT(ISERROR(SEARCH("Electronics",I1)))</formula>
    </cfRule>
  </conditionalFormatting>
  <conditionalFormatting sqref="G1:G32">
    <cfRule type="dataBar" priority="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{5BF1FEFF-9871-4110-B97B-6B483CF5D2C1}</x14:id>
        </ext>
      </extLst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5BF1FEFF-9871-4110-B97B-6B483CF5D2C1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G1:G32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Hema Chandrika</cp:lastModifiedBy>
  <cp:revision/>
  <dcterms:created xsi:type="dcterms:W3CDTF">2026-04-19T14:37:10Z</dcterms:created>
  <dcterms:modified xsi:type="dcterms:W3CDTF">2026-04-19T18:31:42Z</dcterms:modified>
  <cp:category/>
  <cp:contentStatus/>
</cp:coreProperties>
</file>